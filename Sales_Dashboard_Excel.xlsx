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D689B98D-93B1-42EB-BB89-EF3773A03596}" xr6:coauthVersionLast="47" xr6:coauthVersionMax="47" xr10:uidLastSave="{00000000-0000-0000-0000-000000000000}"/>
  <bookViews>
    <workbookView xWindow="-108" yWindow="-108" windowWidth="23256" windowHeight="12456" activeTab="2" xr2:uid="{C0060E68-56BB-4059-9A15-3AF6449EDC7F}"/>
  </bookViews>
  <sheets>
    <sheet name="Walmart Sales Data" sheetId="1" r:id="rId1"/>
    <sheet name="pivot" sheetId="6" r:id="rId2"/>
    <sheet name="dashboard" sheetId="5" r:id="rId3"/>
    <sheet name="Sheet1" sheetId="7" r:id="rId4"/>
  </sheets>
  <definedNames>
    <definedName name="Slicer_City">#N/A</definedName>
    <definedName name="Slicer_Gender">#N/A</definedName>
    <definedName name="Slicer_Months__Date">#N/A</definedName>
    <definedName name="Slicer_Product_lin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 i="1" l="1"/>
  <c r="S10" i="1"/>
  <c r="S8" i="1"/>
  <c r="S4" i="1"/>
  <c r="S2" i="1"/>
</calcChain>
</file>

<file path=xl/sharedStrings.xml><?xml version="1.0" encoding="utf-8"?>
<sst xmlns="http://schemas.openxmlformats.org/spreadsheetml/2006/main" count="7127" uniqueCount="1070">
  <si>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</si>
  <si>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</si>
  <si>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</si>
  <si>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</si>
  <si>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</si>
  <si>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</si>
  <si>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</si>
  <si>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</si>
  <si>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</si>
  <si>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</si>
  <si>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</si>
  <si>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</si>
  <si>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</si>
  <si>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</si>
  <si>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</si>
  <si>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</si>
  <si>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</si>
  <si>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</si>
  <si>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</si>
  <si>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</si>
  <si>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</si>
  <si>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</si>
  <si>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</si>
  <si>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</si>
  <si>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</si>
  <si>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</si>
  <si>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</si>
  <si>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</si>
  <si>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</si>
  <si>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</si>
  <si>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</si>
  <si>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</si>
  <si>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</si>
  <si>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</si>
  <si>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</si>
  <si>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</si>
  <si>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</si>
  <si>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</si>
  <si>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</si>
  <si>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</si>
  <si>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</si>
  <si>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</si>
  <si>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</si>
  <si>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</si>
  <si>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</si>
  <si>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</si>
  <si>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</si>
  <si>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</si>
  <si>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</si>
  <si>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</si>
  <si>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</si>
  <si>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</si>
  <si>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</si>
  <si>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</si>
  <si>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</si>
  <si>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</si>
  <si>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</si>
  <si>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</si>
  <si>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</si>
  <si>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</si>
  <si>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</si>
  <si>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</si>
  <si>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</si>
  <si>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</si>
  <si>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</si>
  <si>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</si>
  <si>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</si>
  <si>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</si>
  <si>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</si>
  <si>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</si>
  <si>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</si>
  <si>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</si>
  <si>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</si>
  <si>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</si>
  <si>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</si>
  <si>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</si>
  <si>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</si>
  <si>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</si>
  <si>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</si>
  <si>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</si>
  <si>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</si>
  <si>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</si>
  <si>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</si>
  <si>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</si>
  <si>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</si>
  <si>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</si>
  <si>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</si>
  <si>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</si>
  <si>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</si>
  <si>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</si>
  <si>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</si>
  <si>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</si>
  <si>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</si>
  <si>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</si>
  <si>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</si>
  <si>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</si>
  <si>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</si>
  <si>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</si>
  <si>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</si>
  <si>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</si>
  <si>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</si>
  <si>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</si>
  <si>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</si>
  <si>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</si>
  <si>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</si>
  <si>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</si>
  <si>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</si>
  <si>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</si>
  <si>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</si>
  <si>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</si>
  <si>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</si>
  <si>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</si>
  <si>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</si>
  <si>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</si>
  <si>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</si>
  <si>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</si>
  <si>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</si>
  <si>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</si>
  <si>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</si>
  <si>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</si>
  <si>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</si>
  <si>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</si>
  <si>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</si>
  <si>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</si>
  <si>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</si>
  <si>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</si>
  <si>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</si>
  <si>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</si>
  <si>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</si>
  <si>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</si>
  <si>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</si>
  <si>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</si>
  <si>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</si>
  <si>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</si>
  <si>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</si>
  <si>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</si>
  <si>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</si>
  <si>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</si>
  <si>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</si>
  <si>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</si>
  <si>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</si>
  <si>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</si>
  <si>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</si>
  <si>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</si>
  <si>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</si>
  <si>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</si>
  <si>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</si>
  <si>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</si>
  <si>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</si>
  <si>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</si>
  <si>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</si>
  <si>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</si>
  <si>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</si>
  <si>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</si>
  <si>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</si>
  <si>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</si>
  <si>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</si>
  <si>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</si>
  <si>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</si>
  <si>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</si>
  <si>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</si>
  <si>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</si>
  <si>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</si>
  <si>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</si>
  <si>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</si>
  <si>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</si>
  <si>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</si>
  <si>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</si>
  <si>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</si>
  <si>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</si>
  <si>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</si>
  <si>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</si>
  <si>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</si>
  <si>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</si>
  <si>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</si>
  <si>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</si>
  <si>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</si>
  <si>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</si>
  <si>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</si>
  <si>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</si>
  <si>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</si>
  <si>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</si>
  <si>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</si>
  <si>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</si>
  <si>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</si>
  <si>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</si>
  <si>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</si>
  <si>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</si>
  <si>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</si>
  <si>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</si>
  <si>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</si>
  <si>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</si>
  <si>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</si>
  <si>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</si>
  <si>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</si>
  <si>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</si>
  <si>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</si>
  <si>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</si>
  <si>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</si>
  <si>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</si>
  <si>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</si>
  <si>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</si>
  <si>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</si>
  <si>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</si>
  <si>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</si>
  <si>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</si>
  <si>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</si>
  <si>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</si>
  <si>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</si>
  <si>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</si>
  <si>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</si>
  <si>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</si>
  <si>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</si>
  <si>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</si>
  <si>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</si>
  <si>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</si>
  <si>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</si>
  <si>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</si>
  <si>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</si>
  <si>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</si>
  <si>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</si>
  <si>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</si>
  <si>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</si>
  <si>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</si>
  <si>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</si>
  <si>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</si>
  <si>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</si>
  <si>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</si>
  <si>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</si>
  <si>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</si>
  <si>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</si>
  <si>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</si>
  <si>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</si>
  <si>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</si>
  <si>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</si>
  <si>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</si>
  <si>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</si>
  <si>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</si>
  <si>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</si>
  <si>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</si>
  <si>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</si>
  <si>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</si>
  <si>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</si>
  <si>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</si>
  <si>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</si>
  <si>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</si>
  <si>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</si>
  <si>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</si>
  <si>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</si>
  <si>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</si>
  <si>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</si>
  <si>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</si>
  <si>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</si>
  <si>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</si>
  <si>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</si>
  <si>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</si>
  <si>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</si>
  <si>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</si>
  <si>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</si>
  <si>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</si>
  <si>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</si>
  <si>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</si>
  <si>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</si>
  <si>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</si>
  <si>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</si>
  <si>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</si>
  <si>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</si>
  <si>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</si>
  <si>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</si>
  <si>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</si>
  <si>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</si>
  <si>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</si>
  <si>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</si>
  <si>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</si>
  <si>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</si>
  <si>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</si>
  <si>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</si>
  <si>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</si>
  <si>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</si>
  <si>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</si>
  <si>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</si>
  <si>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</si>
  <si>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</si>
  <si>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</si>
  <si>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</si>
  <si>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</si>
  <si>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</si>
  <si>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</si>
  <si>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</si>
  <si>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</si>
  <si>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</si>
  <si>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</si>
  <si>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</si>
  <si>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</si>
  <si>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</si>
  <si>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</si>
  <si>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</si>
  <si>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</si>
  <si>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</si>
  <si>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</si>
  <si>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</si>
  <si>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</si>
  <si>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</si>
  <si>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</si>
  <si>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</si>
  <si>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</si>
  <si>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</si>
  <si>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</si>
  <si>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</si>
  <si>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</si>
  <si>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</si>
  <si>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</si>
  <si>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</si>
  <si>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</si>
  <si>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</si>
  <si>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</si>
  <si>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</si>
  <si>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</si>
  <si>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</si>
  <si>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</si>
  <si>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</si>
  <si>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</si>
  <si>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</si>
  <si>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</si>
  <si>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</si>
  <si>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</si>
  <si>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</si>
  <si>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</si>
  <si>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</si>
  <si>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</si>
  <si>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</si>
  <si>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</si>
  <si>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</si>
  <si>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</si>
  <si>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</si>
  <si>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</si>
  <si>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</si>
  <si>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</si>
  <si>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</si>
  <si>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</si>
  <si>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</si>
  <si>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</si>
  <si>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</si>
  <si>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</si>
  <si>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</si>
  <si>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</si>
  <si>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</si>
  <si>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</si>
  <si>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</si>
  <si>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</si>
  <si>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</si>
  <si>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</si>
  <si>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</si>
  <si>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</si>
  <si>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</si>
  <si>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</si>
  <si>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</si>
  <si>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</si>
  <si>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</si>
  <si>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</si>
  <si>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</si>
  <si>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</si>
  <si>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</si>
  <si>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</si>
  <si>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</si>
  <si>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</si>
  <si>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</si>
  <si>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</si>
  <si>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</si>
  <si>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</si>
  <si>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</si>
  <si>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</si>
  <si>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</si>
  <si>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</si>
  <si>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</si>
  <si>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</si>
  <si>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</si>
  <si>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</si>
  <si>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</si>
  <si>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</si>
  <si>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</si>
  <si>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</si>
  <si>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</si>
  <si>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</si>
  <si>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</si>
  <si>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</si>
  <si>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</si>
  <si>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</si>
  <si>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</si>
  <si>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</si>
  <si>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</si>
  <si>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</si>
  <si>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</si>
  <si>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</si>
  <si>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</si>
  <si>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</si>
  <si>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</si>
  <si>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</si>
  <si>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</si>
  <si>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</si>
  <si>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</si>
  <si>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</si>
  <si>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</si>
  <si>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</si>
  <si>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</si>
  <si>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</si>
  <si>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</si>
  <si>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</si>
  <si>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</si>
  <si>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</si>
  <si>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</si>
  <si>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</si>
  <si>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</si>
  <si>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</si>
  <si>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</si>
  <si>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</si>
  <si>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</si>
  <si>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</si>
  <si>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</si>
  <si>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</si>
  <si>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</si>
  <si>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</si>
  <si>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</si>
  <si>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</si>
  <si>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</si>
  <si>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</si>
  <si>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</si>
  <si>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</si>
  <si>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</si>
  <si>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</si>
  <si>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</si>
  <si>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</si>
  <si>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</si>
  <si>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</si>
  <si>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</si>
  <si>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</si>
  <si>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</si>
  <si>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</si>
  <si>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</si>
  <si>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</si>
  <si>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</si>
  <si>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</si>
  <si>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</si>
  <si>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</si>
  <si>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</si>
  <si>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</si>
  <si>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</si>
  <si>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</si>
  <si>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</si>
  <si>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</si>
  <si>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</si>
  <si>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</si>
  <si>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</si>
  <si>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</si>
  <si>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</si>
  <si>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</si>
  <si>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</si>
  <si>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</si>
  <si>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</si>
  <si>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</si>
  <si>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</si>
  <si>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</si>
  <si>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</si>
  <si>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</si>
  <si>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</si>
  <si>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</si>
  <si>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</si>
  <si>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</si>
  <si>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</si>
  <si>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</si>
  <si>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</si>
  <si>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</si>
  <si>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</si>
  <si>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</si>
  <si>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</si>
  <si>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</si>
  <si>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</si>
  <si>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</si>
  <si>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</si>
  <si>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</si>
  <si>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</si>
  <si>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</si>
  <si>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</si>
  <si>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</si>
  <si>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</si>
  <si>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</si>
  <si>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</si>
  <si>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</si>
  <si>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</si>
  <si>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</si>
  <si>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</si>
  <si>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</si>
  <si>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</si>
  <si>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</si>
  <si>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</si>
  <si>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</si>
  <si>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</si>
  <si>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</si>
  <si>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</si>
  <si>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</si>
  <si>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</si>
  <si>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</si>
  <si>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</si>
  <si>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</si>
  <si>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</si>
  <si>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</si>
  <si>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</si>
  <si>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</si>
  <si>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</si>
  <si>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</si>
  <si>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</si>
  <si>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</si>
  <si>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</si>
  <si>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</si>
  <si>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</si>
  <si>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</si>
  <si>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</si>
  <si>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</si>
  <si>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</si>
  <si>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</si>
  <si>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</si>
  <si>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</si>
  <si>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</si>
  <si>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</si>
  <si>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</si>
  <si>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</si>
  <si>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</si>
  <si>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</si>
  <si>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</si>
  <si>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</si>
  <si>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</si>
  <si>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</si>
  <si>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</si>
  <si>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</si>
  <si>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</si>
  <si>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</si>
  <si>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</si>
  <si>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</si>
  <si>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</si>
  <si>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</si>
  <si>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</si>
  <si>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</si>
  <si>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</si>
  <si>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</si>
  <si>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</si>
  <si>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</si>
  <si>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</si>
  <si>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</si>
  <si>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</si>
  <si>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</si>
  <si>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</si>
  <si>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</si>
  <si>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</si>
  <si>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</si>
  <si>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</si>
  <si>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</si>
  <si>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</si>
  <si>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</si>
  <si>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</si>
  <si>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</si>
  <si>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</si>
  <si>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</si>
  <si>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</si>
  <si>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</si>
  <si>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</si>
  <si>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</si>
  <si>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</si>
  <si>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</si>
  <si>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</si>
  <si>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</si>
  <si>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</si>
  <si>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</si>
  <si>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</si>
  <si>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</si>
  <si>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</si>
  <si>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</si>
  <si>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</si>
  <si>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</si>
  <si>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</si>
  <si>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</si>
  <si>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</si>
  <si>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</si>
  <si>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</si>
  <si>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</si>
  <si>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</si>
  <si>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</si>
  <si>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</si>
  <si>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</si>
  <si>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</si>
  <si>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</si>
  <si>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</si>
  <si>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</si>
  <si>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</si>
  <si>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</si>
  <si>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</si>
  <si>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</si>
  <si>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</si>
  <si>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</si>
  <si>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</si>
  <si>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</si>
  <si>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</si>
  <si>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</si>
  <si>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</si>
  <si>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</si>
  <si>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</si>
  <si>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</si>
  <si>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</si>
  <si>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</si>
  <si>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</si>
  <si>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</si>
  <si>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</si>
  <si>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</si>
  <si>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</si>
  <si>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</si>
  <si>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</si>
  <si>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</si>
  <si>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</si>
  <si>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</si>
  <si>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</si>
  <si>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</si>
  <si>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</si>
  <si>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</si>
  <si>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</si>
  <si>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</si>
  <si>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</si>
  <si>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</si>
  <si>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</si>
  <si>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</si>
  <si>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</si>
  <si>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</si>
  <si>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</si>
  <si>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</si>
  <si>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</si>
  <si>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</si>
  <si>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</si>
  <si>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</si>
  <si>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</si>
  <si>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</si>
  <si>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</si>
  <si>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</si>
  <si>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</si>
  <si>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</si>
  <si>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</si>
  <si>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</si>
  <si>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</si>
  <si>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</si>
  <si>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</si>
  <si>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</si>
  <si>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</si>
  <si>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</si>
  <si>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</si>
  <si>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</si>
  <si>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</si>
  <si>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</si>
  <si>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</si>
  <si>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</si>
  <si>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</si>
  <si>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</si>
  <si>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</si>
  <si>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</si>
  <si>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</si>
  <si>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</si>
  <si>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</si>
  <si>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</si>
  <si>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</si>
  <si>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</si>
  <si>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</si>
  <si>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</si>
  <si>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</si>
  <si>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</si>
  <si>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</si>
  <si>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</si>
  <si>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</si>
  <si>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</si>
  <si>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</si>
  <si>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</si>
  <si>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</si>
  <si>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</si>
  <si>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</si>
  <si>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</si>
  <si>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</si>
  <si>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</si>
  <si>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</si>
  <si>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</si>
  <si>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</si>
  <si>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</si>
  <si>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</si>
  <si>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</si>
  <si>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</si>
  <si>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</si>
  <si>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</si>
  <si>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</si>
  <si>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</si>
  <si>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</si>
  <si>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</si>
  <si>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</si>
  <si>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</si>
  <si>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</si>
  <si>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</si>
  <si>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</si>
  <si>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</si>
  <si>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</si>
  <si>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</si>
  <si>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</si>
  <si>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</si>
  <si>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</si>
  <si>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</si>
  <si>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</si>
  <si>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</si>
  <si>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</si>
  <si>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</si>
  <si>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</si>
  <si>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</si>
  <si>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</si>
  <si>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</si>
  <si>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</si>
  <si>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</si>
  <si>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</si>
  <si>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</si>
  <si>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</si>
  <si>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</si>
  <si>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</si>
  <si>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</si>
  <si>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</si>
  <si>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</si>
  <si>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</si>
  <si>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</si>
  <si>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</si>
  <si>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</si>
  <si>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</si>
  <si>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</si>
  <si>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</si>
  <si>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</si>
  <si>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</si>
  <si>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</si>
  <si>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</si>
  <si>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</si>
  <si>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</si>
  <si>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</si>
  <si>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</si>
  <si>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</si>
  <si>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</si>
  <si>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</si>
  <si>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</si>
  <si>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</si>
  <si>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</si>
  <si>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</si>
  <si>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</si>
  <si>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</si>
  <si>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</si>
  <si>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</si>
  <si>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</si>
  <si>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</si>
  <si>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</si>
  <si>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</si>
  <si>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</si>
  <si>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</si>
  <si>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</si>
  <si>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</si>
  <si>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</si>
  <si>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</si>
  <si>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</si>
  <si>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</si>
  <si>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</si>
  <si>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</si>
  <si>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</si>
  <si>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</si>
  <si>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</si>
  <si>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</si>
  <si>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</si>
  <si>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</si>
  <si>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</si>
  <si>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</si>
  <si>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</si>
  <si>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</si>
  <si>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</si>
  <si>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</si>
  <si>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</si>
  <si>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</si>
  <si>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</si>
  <si>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</si>
  <si>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</si>
  <si>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</si>
  <si>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</si>
  <si>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</si>
  <si>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</si>
  <si>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</si>
  <si>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</si>
  <si>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</si>
  <si>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</si>
  <si>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</si>
  <si>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</si>
  <si>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</si>
  <si>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</si>
  <si>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</si>
  <si>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</si>
  <si>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</si>
  <si>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</si>
  <si>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</si>
  <si>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</si>
  <si>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</si>
  <si>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</si>
  <si>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</si>
  <si>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</si>
  <si>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</si>
  <si>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</si>
  <si>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</si>
  <si>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</si>
  <si>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</si>
  <si>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</si>
  <si>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</si>
  <si>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</si>
  <si>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</si>
  <si>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</si>
  <si>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</si>
  <si>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</si>
  <si>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</si>
  <si>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</si>
  <si>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</si>
  <si>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</si>
  <si>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</si>
  <si>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</si>
  <si>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</si>
  <si>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</si>
  <si>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</si>
  <si>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</si>
  <si>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</si>
  <si>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</si>
  <si>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</si>
  <si>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</si>
  <si>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</si>
  <si>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</si>
  <si>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</si>
  <si>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</si>
  <si>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</si>
  <si>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</si>
  <si>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</si>
  <si>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</si>
  <si>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</si>
  <si>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</si>
  <si>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</si>
  <si>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</si>
  <si>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</si>
  <si>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</si>
  <si>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</si>
  <si>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</si>
  <si>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</si>
  <si>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</si>
  <si>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</si>
  <si>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</si>
  <si>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</si>
  <si>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</si>
  <si>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</si>
  <si>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</si>
  <si>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</si>
  <si>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</si>
  <si>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</si>
  <si>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</si>
  <si>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</si>
  <si>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</si>
  <si>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</si>
  <si>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</si>
  <si>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</si>
  <si>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</si>
  <si>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</si>
  <si>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</si>
  <si>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</si>
  <si>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</si>
  <si>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</si>
  <si>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</si>
  <si>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</si>
  <si>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</si>
  <si>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</si>
  <si>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</si>
  <si>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</si>
  <si>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</si>
  <si>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</si>
  <si>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</si>
  <si>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</si>
  <si>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</si>
  <si>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</si>
  <si>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</si>
  <si>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</si>
  <si>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</si>
  <si>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</si>
  <si>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</si>
  <si>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</si>
  <si>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</si>
  <si>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</si>
  <si>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</si>
  <si>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</si>
  <si>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</si>
  <si>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</si>
  <si>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</si>
  <si>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</si>
  <si>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</si>
  <si>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</si>
  <si>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</si>
  <si>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</si>
  <si>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</si>
  <si>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</si>
  <si>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</si>
  <si>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</si>
  <si>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</si>
  <si>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</si>
  <si>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</si>
  <si>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</si>
  <si>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</si>
  <si>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</si>
  <si>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</si>
  <si>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</si>
  <si>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</si>
  <si>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</si>
  <si>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</si>
  <si>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</si>
  <si>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</si>
  <si>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</si>
  <si>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</si>
  <si>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</si>
  <si>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</si>
  <si>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</si>
  <si>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</si>
  <si>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</si>
  <si>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</si>
  <si>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</si>
  <si>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</si>
  <si>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</si>
  <si>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</si>
  <si>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</si>
  <si>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</si>
  <si>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</si>
  <si>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</si>
  <si>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</si>
  <si>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</si>
  <si>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</si>
  <si>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</si>
  <si>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</si>
  <si>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</si>
  <si>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</si>
  <si>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</si>
  <si>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</si>
  <si>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</si>
  <si>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</si>
  <si>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</si>
  <si>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</si>
  <si>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</si>
  <si>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</si>
  <si>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</si>
  <si>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</si>
  <si>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</si>
  <si>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</si>
  <si>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</si>
  <si>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</si>
  <si>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</si>
  <si>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</si>
  <si>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</si>
  <si>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</si>
  <si>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</si>
  <si>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</si>
  <si>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</si>
  <si>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</si>
  <si>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</si>
  <si>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</si>
  <si>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</si>
  <si>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</si>
  <si>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</si>
  <si>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</si>
  <si>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</si>
  <si>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</si>
  <si>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</si>
  <si>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</si>
  <si>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</si>
  <si>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</si>
  <si>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</si>
  <si>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</si>
  <si>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</si>
  <si>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</si>
  <si>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</si>
  <si>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</si>
  <si>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</si>
  <si>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</si>
  <si>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</si>
  <si>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</si>
  <si>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</si>
  <si>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</si>
  <si>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</si>
  <si>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</si>
  <si>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</si>
  <si>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</si>
  <si>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</si>
  <si>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</si>
  <si>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</si>
  <si>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</si>
  <si>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</si>
  <si>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</si>
  <si>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</si>
  <si>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</si>
  <si>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</si>
  <si>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</si>
  <si>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</si>
  <si>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</si>
  <si>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</si>
  <si>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</si>
  <si>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</si>
  <si>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</si>
  <si>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</si>
  <si>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</si>
  <si>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</si>
  <si>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</si>
  <si>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</si>
  <si>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</si>
  <si>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</si>
  <si>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</si>
  <si>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</si>
  <si>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</si>
  <si>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</si>
  <si>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</si>
  <si>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</si>
  <si>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</si>
  <si>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</si>
  <si>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</si>
  <si>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</si>
  <si>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</si>
  <si>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</si>
  <si>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</si>
  <si>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</si>
  <si>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</si>
  <si>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</si>
  <si>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</si>
  <si>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</si>
  <si>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</si>
  <si>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</si>
  <si>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</si>
  <si>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</si>
  <si>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</si>
  <si>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</si>
  <si>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Grand Total</t>
  </si>
  <si>
    <t>Sum of Total</t>
  </si>
  <si>
    <t>Mar</t>
  </si>
  <si>
    <t>Total sales</t>
  </si>
  <si>
    <t>Total Quantity sold</t>
  </si>
  <si>
    <t>Total Customers</t>
  </si>
  <si>
    <t xml:space="preserve"> Average Rating</t>
  </si>
  <si>
    <t xml:space="preserve"> Total Profit (gross income)</t>
  </si>
  <si>
    <t>sales by product line</t>
  </si>
  <si>
    <t>City / Branch Performance</t>
  </si>
  <si>
    <t>Monthly Sales Trend</t>
  </si>
  <si>
    <t>Payment Method Analysis</t>
  </si>
  <si>
    <t>Gender Analysis</t>
  </si>
  <si>
    <t>Customer Type Analysis</t>
  </si>
  <si>
    <t>Rating Analysis</t>
  </si>
  <si>
    <t>Average of Total</t>
  </si>
  <si>
    <t>Profit Analysis</t>
  </si>
  <si>
    <t>Sum of gross income</t>
  </si>
  <si>
    <t>Time Analysis</t>
  </si>
  <si>
    <t>10</t>
  </si>
  <si>
    <t>11</t>
  </si>
  <si>
    <t>12</t>
  </si>
  <si>
    <t>13</t>
  </si>
  <si>
    <t>14</t>
  </si>
  <si>
    <t>15</t>
  </si>
  <si>
    <t>16</t>
  </si>
  <si>
    <t>17</t>
  </si>
  <si>
    <t>18</t>
  </si>
  <si>
    <t>19</t>
  </si>
  <si>
    <t>20</t>
  </si>
  <si>
    <t>Product line/city</t>
  </si>
  <si>
    <t>Month</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</si>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</sst>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409]hh:mm\ AM/PM;@"/>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4"/>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13" fillId="33" borderId="10" xfId="0" applyFont="1" applyFill="1" applyBorder="1"/>
    <xf numFmtId="0" fontId="13" fillId="33" borderId="11" xfId="0" applyFont="1" applyFill="1" applyBorder="1"/>
    <xf numFmtId="0" fontId="13" fillId="33" borderId="12" xfId="0" applyFont="1" applyFill="1" applyBorder="1"/>
    <xf numFmtId="2" fontId="0" fillId="0" borderId="0" xfId="0" applyNumberFormat="1"/>
    <xf numFmtId="0" fontId="18" fillId="34" borderId="0" xfId="0" applyFont="1" applyFill="1"/>
    <xf numFmtId="0" fontId="0" fillId="0" borderId="0" xfId="0" applyAlignment="1">
      <alignment horizontal="left" indent="1"/>
    </xf>
    <xf numFmtId="164" fontId="0" fillId="0" borderId="0" xfId="0" applyNumberFormat="1" applyAlignment="1">
      <alignment horizontal="left"/>
    </xf>
    <xf numFmtId="164" fontId="0" fillId="0" borderId="0" xfId="0" applyNumberFormat="1"/>
    <xf numFmtId="0" fontId="18" fillId="34" borderId="0" xfId="0" applyFont="1" applyFill="1" applyAlignment="1">
      <alignment horizontal="center"/>
    </xf>
    <xf numFmtId="0" fontId="16" fillId="34" borderId="0" xfId="0" applyFont="1" applyFill="1" applyAlignment="1">
      <alignment horizontal="center"/>
    </xf>
    <xf numFmtId="0" fontId="0" fillId="0" borderId="0" xfId="0" applyNumberForma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10409]hh:mm\ AM/PM;@"/>
    </dxf>
    <dxf>
      <numFmt numFmtId="164" formatCode="[$-10409]hh:mm\ AM/PM;@"/>
    </dxf>
    <dxf>
      <numFmt numFmtId="19" formatCode="dd/mm/yyyy"/>
    </dxf>
    <dxf>
      <font>
        <b/>
        <i val="0"/>
        <color theme="0"/>
        <name val="Arial Narrow"/>
        <family val="2"/>
        <scheme val="none"/>
      </font>
    </dxf>
    <dxf>
      <font>
        <b/>
        <i val="0"/>
        <sz val="11"/>
        <color theme="1"/>
        <name val="Aptos Narrow"/>
        <family val="2"/>
        <scheme val="none"/>
      </font>
      <fill>
        <patternFill>
          <bgColor rgb="FF0C769E"/>
        </patternFill>
      </fill>
    </dxf>
  </dxfs>
  <tableStyles count="1" defaultTableStyle="TableStyleMedium2" defaultPivotStyle="PivotStyleLight16">
    <tableStyle name="veda" pivot="0" table="0" count="6" xr9:uid="{7F27725E-8E05-4F98-AA51-E73332636E64}">
      <tableStyleElement type="wholeTable" dxfId="4"/>
      <tableStyleElement type="headerRow" dxfId="3"/>
    </tableStyle>
  </tableStyles>
  <colors>
    <mruColors>
      <color rgb="FF074F69"/>
      <color rgb="FF0C769E"/>
      <color rgb="FF084F64"/>
      <color rgb="FF203864"/>
      <color rgb="FF828282"/>
      <color rgb="FF766E71"/>
      <color rgb="FFCCCCCC"/>
      <color rgb="FF999999"/>
      <color rgb="FFF27AEC"/>
      <color rgb="FFFFFFFF"/>
    </mruColors>
  </colors>
  <extLst>
    <ext xmlns:x14="http://schemas.microsoft.com/office/spreadsheetml/2009/9/main" uri="{46F421CA-312F-682f-3DD2-61675219B42D}">
      <x14:dxfs count="4">
        <dxf>
          <font>
            <b/>
            <i val="0"/>
            <color theme="0"/>
          </font>
          <fill>
            <patternFill>
              <bgColor rgb="FF0C769E"/>
            </patternFill>
          </fill>
          <border>
            <left style="thin">
              <color rgb="FFCCCCCC"/>
            </left>
            <right style="thin">
              <color rgb="FFCCCCCC"/>
            </right>
            <top style="thin">
              <color rgb="FFCCCCCC"/>
            </top>
            <bottom style="thin">
              <color rgb="FFCCCCCC"/>
            </bottom>
          </border>
        </dxf>
        <dxf>
          <font>
            <b/>
            <i val="0"/>
            <sz val="11"/>
            <color theme="0"/>
            <name val="Aptos Narrow"/>
            <family val="2"/>
            <scheme val="none"/>
          </font>
          <fill>
            <patternFill>
              <fgColor rgb="FFF27AEC"/>
              <bgColor rgb="FF074F69"/>
            </patternFill>
          </fill>
          <border>
            <left style="thin">
              <color auto="1"/>
            </left>
            <right style="thin">
              <color auto="1"/>
            </right>
            <top style="thin">
              <color auto="1"/>
            </top>
            <bottom style="thin">
              <color auto="1"/>
            </bottom>
          </border>
        </dxf>
        <dxf>
          <font>
            <color rgb="FF828282"/>
            <name val="Aptos Narrow"/>
            <family val="2"/>
            <scheme val="none"/>
          </font>
          <border>
            <left style="thin">
              <color theme="2"/>
            </left>
            <right style="thin">
              <color theme="2"/>
            </right>
            <top style="thin">
              <color auto="1"/>
            </top>
            <bottom style="thin">
              <color theme="2"/>
            </bottom>
          </border>
        </dxf>
        <dxf>
          <font>
            <color theme="1"/>
            <name val="Aptos Narrow"/>
            <family val="2"/>
            <scheme val="none"/>
          </font>
          <fill>
            <patternFill>
              <bgColor rgb="FF074F69"/>
            </patternFill>
          </fill>
        </dxf>
      </x14:dxfs>
    </ext>
    <ext xmlns:x14="http://schemas.microsoft.com/office/spreadsheetml/2009/9/main" uri="{EB79DEF2-80B8-43e5-95BD-54CBDDF9020C}">
      <x14:slicerStyles defaultSlicerStyle="SlicerStyleLight1">
        <x14:slicerStyle name="veda">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pivot!$B$4:$B$10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1860-4E2D-8BDF-FC2CE3AFD0A9}"/>
            </c:ext>
          </c:extLst>
        </c:ser>
        <c:dLbls>
          <c:showLegendKey val="0"/>
          <c:showVal val="0"/>
          <c:showCatName val="0"/>
          <c:showSerName val="0"/>
          <c:showPercent val="0"/>
          <c:showBubbleSize val="0"/>
        </c:dLbls>
        <c:gapWidth val="182"/>
        <c:axId val="258178783"/>
        <c:axId val="258171103"/>
      </c:barChart>
      <c:catAx>
        <c:axId val="25817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71103"/>
        <c:crosses val="autoZero"/>
        <c:auto val="1"/>
        <c:lblAlgn val="ctr"/>
        <c:lblOffset val="100"/>
        <c:noMultiLvlLbl val="0"/>
      </c:catAx>
      <c:valAx>
        <c:axId val="258171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7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Total</c:v>
                </c:pt>
              </c:strCache>
            </c:strRef>
          </c:tx>
          <c:spPr>
            <a:solidFill>
              <a:schemeClr val="accent1"/>
            </a:solidFill>
            <a:ln>
              <a:noFill/>
            </a:ln>
            <a:effectLst/>
          </c:spPr>
          <c:invertIfNegative val="0"/>
          <c:cat>
            <c:strRef>
              <c:f>pivot!$A$17:$A$20</c:f>
              <c:strCache>
                <c:ptCount val="3"/>
                <c:pt idx="0">
                  <c:v>Mandalay</c:v>
                </c:pt>
                <c:pt idx="1">
                  <c:v>Naypyitaw</c:v>
                </c:pt>
                <c:pt idx="2">
                  <c:v>Yangon</c:v>
                </c:pt>
              </c:strCache>
            </c:strRef>
          </c:cat>
          <c:val>
            <c:numRef>
              <c:f>pivot!$B$17:$B$20</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619D-4844-87EF-87AE1C8517D8}"/>
            </c:ext>
          </c:extLst>
        </c:ser>
        <c:dLbls>
          <c:showLegendKey val="0"/>
          <c:showVal val="0"/>
          <c:showCatName val="0"/>
          <c:showSerName val="0"/>
          <c:showPercent val="0"/>
          <c:showBubbleSize val="0"/>
        </c:dLbls>
        <c:gapWidth val="219"/>
        <c:overlap val="-27"/>
        <c:axId val="258172543"/>
        <c:axId val="258167743"/>
      </c:barChart>
      <c:catAx>
        <c:axId val="25817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67743"/>
        <c:crosses val="autoZero"/>
        <c:auto val="1"/>
        <c:lblAlgn val="ctr"/>
        <c:lblOffset val="100"/>
        <c:noMultiLvlLbl val="0"/>
      </c:catAx>
      <c:valAx>
        <c:axId val="25816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7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pivot!$B$26</c:f>
              <c:strCache>
                <c:ptCount val="1"/>
                <c:pt idx="0">
                  <c:v>Total</c:v>
                </c:pt>
              </c:strCache>
            </c:strRef>
          </c:tx>
          <c:spPr>
            <a:ln w="28575" cap="rnd">
              <a:solidFill>
                <a:schemeClr val="accent1"/>
              </a:solidFill>
              <a:round/>
            </a:ln>
            <a:effectLst/>
          </c:spPr>
          <c:marker>
            <c:symbol val="none"/>
          </c:marker>
          <c:cat>
            <c:strRef>
              <c:f>pivot!$A$27:$A$30</c:f>
              <c:strCache>
                <c:ptCount val="3"/>
                <c:pt idx="0">
                  <c:v>Jan</c:v>
                </c:pt>
                <c:pt idx="1">
                  <c:v>Feb</c:v>
                </c:pt>
                <c:pt idx="2">
                  <c:v>Mar</c:v>
                </c:pt>
              </c:strCache>
            </c:strRef>
          </c:cat>
          <c:val>
            <c:numRef>
              <c:f>pivot!$B$27:$B$30</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51EA-4CB5-9EAA-79653FBF76F7}"/>
            </c:ext>
          </c:extLst>
        </c:ser>
        <c:dLbls>
          <c:showLegendKey val="0"/>
          <c:showVal val="0"/>
          <c:showCatName val="0"/>
          <c:showSerName val="0"/>
          <c:showPercent val="0"/>
          <c:showBubbleSize val="0"/>
        </c:dLbls>
        <c:smooth val="0"/>
        <c:axId val="258170623"/>
        <c:axId val="258180223"/>
      </c:lineChart>
      <c:catAx>
        <c:axId val="25817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80223"/>
        <c:crosses val="autoZero"/>
        <c:auto val="1"/>
        <c:lblAlgn val="ctr"/>
        <c:lblOffset val="100"/>
        <c:noMultiLvlLbl val="0"/>
      </c:catAx>
      <c:valAx>
        <c:axId val="25818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7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4783593227317174"/>
          <c:y val="0.36800487967173118"/>
          <c:w val="0.37922722894932254"/>
          <c:h val="0.54480531482860417"/>
        </c:manualLayout>
      </c:layout>
      <c:doughnutChart>
        <c:varyColors val="1"/>
        <c:ser>
          <c:idx val="0"/>
          <c:order val="0"/>
          <c:tx>
            <c:strRef>
              <c:f>pivot!$B$36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64-4DB0-BBA1-0385877204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64-4DB0-BBA1-0385877204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64-4DB0-BBA1-0385877204D6}"/>
              </c:ext>
            </c:extLst>
          </c:dPt>
          <c:cat>
            <c:strRef>
              <c:f>pivot!$A$37:$A$40</c:f>
              <c:strCache>
                <c:ptCount val="3"/>
                <c:pt idx="0">
                  <c:v>Cash</c:v>
                </c:pt>
                <c:pt idx="1">
                  <c:v>Credit card</c:v>
                </c:pt>
                <c:pt idx="2">
                  <c:v>Ewallet</c:v>
                </c:pt>
              </c:strCache>
            </c:strRef>
          </c:cat>
          <c:val>
            <c:numRef>
              <c:f>pivot!$B$37:$B$40</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AFDF-4A39-B269-F65D5DFE56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9B-445A-9829-F031CA6FC4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9B-445A-9829-F031CA6FC4C3}"/>
              </c:ext>
            </c:extLst>
          </c:dPt>
          <c:cat>
            <c:strRef>
              <c:f>pivot!$A$48:$A$50</c:f>
              <c:strCache>
                <c:ptCount val="2"/>
                <c:pt idx="0">
                  <c:v>Female</c:v>
                </c:pt>
                <c:pt idx="1">
                  <c:v>Male</c:v>
                </c:pt>
              </c:strCache>
            </c:strRef>
          </c:cat>
          <c:val>
            <c:numRef>
              <c:f>pivot!$B$48:$B$50</c:f>
              <c:numCache>
                <c:formatCode>General</c:formatCode>
                <c:ptCount val="2"/>
                <c:pt idx="0">
                  <c:v>167882.92500000002</c:v>
                </c:pt>
                <c:pt idx="1">
                  <c:v>155083.82400000014</c:v>
                </c:pt>
              </c:numCache>
            </c:numRef>
          </c:val>
          <c:extLst>
            <c:ext xmlns:c16="http://schemas.microsoft.com/office/drawing/2014/chart" uri="{C3380CC4-5D6E-409C-BE32-E72D297353CC}">
              <c16:uniqueId val="{00000000-9623-4AE5-91F7-A18E3BE9A7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Gender</a:t>
            </a:r>
          </a:p>
        </c:rich>
      </c:tx>
      <c:layout>
        <c:manualLayout>
          <c:xMode val="edge"/>
          <c:yMode val="edge"/>
          <c:x val="0.2960607294777807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noFill/>
          </a:ln>
          <a:effectLst/>
        </c:spPr>
        <c:dLbl>
          <c:idx val="0"/>
          <c:layout>
            <c:manualLayout>
              <c:x val="-0.22119497993785259"/>
              <c:y val="8.5414969680514072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noFill/>
          </a:ln>
          <a:effectLst/>
        </c:spPr>
        <c:dLbl>
          <c:idx val="0"/>
          <c:layout>
            <c:manualLayout>
              <c:x val="0.22988505747126436"/>
              <c:y val="2.815300027151778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199233716475097"/>
                  <c:h val="0.21192528735632185"/>
                </c:manualLayout>
              </c15:layout>
            </c:ext>
          </c:extLst>
        </c:dLbl>
      </c:pivotFmt>
    </c:pivotFmts>
    <c:plotArea>
      <c:layout>
        <c:manualLayout>
          <c:layoutTarget val="inner"/>
          <c:xMode val="edge"/>
          <c:yMode val="edge"/>
          <c:x val="0.18578415844571153"/>
          <c:y val="0.1762212643678161"/>
          <c:w val="0.53002873563218389"/>
          <c:h val="0.79504310344827589"/>
        </c:manualLayout>
      </c:layout>
      <c:pieChart>
        <c:varyColors val="1"/>
        <c:ser>
          <c:idx val="0"/>
          <c:order val="0"/>
          <c:tx>
            <c:strRef>
              <c:f>pivot!$B$47</c:f>
              <c:strCache>
                <c:ptCount val="1"/>
                <c:pt idx="0">
                  <c:v>Total</c:v>
                </c:pt>
              </c:strCache>
            </c:strRef>
          </c:tx>
          <c:spPr>
            <a:solidFill>
              <a:schemeClr val="accent1">
                <a:lumMod val="75000"/>
              </a:schemeClr>
            </a:solidFill>
            <a:ln>
              <a:noFill/>
            </a:ln>
          </c:spPr>
          <c:dPt>
            <c:idx val="0"/>
            <c:bubble3D val="0"/>
            <c:spPr>
              <a:solidFill>
                <a:schemeClr val="accent1">
                  <a:lumMod val="50000"/>
                </a:schemeClr>
              </a:solidFill>
              <a:ln w="19050">
                <a:noFill/>
              </a:ln>
              <a:effectLst/>
            </c:spPr>
            <c:extLst>
              <c:ext xmlns:c16="http://schemas.microsoft.com/office/drawing/2014/chart" uri="{C3380CC4-5D6E-409C-BE32-E72D297353CC}">
                <c16:uniqueId val="{00000001-485F-476C-9B74-EC2314C25DF4}"/>
              </c:ext>
            </c:extLst>
          </c:dPt>
          <c:dPt>
            <c:idx val="1"/>
            <c:bubble3D val="0"/>
            <c:explosion val="1"/>
            <c:spPr>
              <a:solidFill>
                <a:schemeClr val="accent1">
                  <a:lumMod val="75000"/>
                </a:schemeClr>
              </a:solidFill>
              <a:ln w="19050">
                <a:noFill/>
              </a:ln>
              <a:effectLst/>
            </c:spPr>
            <c:extLst>
              <c:ext xmlns:c16="http://schemas.microsoft.com/office/drawing/2014/chart" uri="{C3380CC4-5D6E-409C-BE32-E72D297353CC}">
                <c16:uniqueId val="{00000003-485F-476C-9B74-EC2314C25DF4}"/>
              </c:ext>
            </c:extLst>
          </c:dPt>
          <c:dLbls>
            <c:dLbl>
              <c:idx val="0"/>
              <c:layout>
                <c:manualLayout>
                  <c:x val="-0.22119497993785259"/>
                  <c:y val="8.5414969680514072E-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5F-476C-9B74-EC2314C25DF4}"/>
                </c:ext>
              </c:extLst>
            </c:dLbl>
            <c:dLbl>
              <c:idx val="1"/>
              <c:layout>
                <c:manualLayout>
                  <c:x val="0.22988505747126436"/>
                  <c:y val="2.815300027151778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199233716475097"/>
                      <c:h val="0.21192528735632185"/>
                    </c:manualLayout>
                  </c15:layout>
                </c:ext>
                <c:ext xmlns:c16="http://schemas.microsoft.com/office/drawing/2014/chart" uri="{C3380CC4-5D6E-409C-BE32-E72D297353CC}">
                  <c16:uniqueId val="{00000003-485F-476C-9B74-EC2314C25D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pivot!$A$48:$A$50</c:f>
              <c:strCache>
                <c:ptCount val="2"/>
                <c:pt idx="0">
                  <c:v>Female</c:v>
                </c:pt>
                <c:pt idx="1">
                  <c:v>Male</c:v>
                </c:pt>
              </c:strCache>
            </c:strRef>
          </c:cat>
          <c:val>
            <c:numRef>
              <c:f>pivot!$B$48:$B$50</c:f>
              <c:numCache>
                <c:formatCode>General</c:formatCode>
                <c:ptCount val="2"/>
                <c:pt idx="0">
                  <c:v>167882.92500000002</c:v>
                </c:pt>
                <c:pt idx="1">
                  <c:v>155083.82400000014</c:v>
                </c:pt>
              </c:numCache>
            </c:numRef>
          </c:val>
          <c:extLst>
            <c:ext xmlns:c16="http://schemas.microsoft.com/office/drawing/2014/chart" uri="{C3380CC4-5D6E-409C-BE32-E72D297353CC}">
              <c16:uniqueId val="{00000004-485F-476C-9B74-EC2314C25DF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74F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74F69"/>
          </a:solidFill>
          <a:ln>
            <a:noFill/>
          </a:ln>
          <a:effectLst/>
        </c:spPr>
        <c:dLbl>
          <c:idx val="0"/>
          <c:layout>
            <c:manualLayout>
              <c:x val="-0.1061907070589114"/>
              <c:y val="-3.481577635749744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74F69"/>
          </a:solidFill>
          <a:ln>
            <a:noFill/>
          </a:ln>
          <a:effectLst/>
        </c:spPr>
        <c:dLbl>
          <c:idx val="0"/>
          <c:layout>
            <c:manualLayout>
              <c:x val="-8.81922821336721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74F69"/>
          </a:solidFill>
          <a:ln>
            <a:noFill/>
          </a:ln>
          <a:effectLst/>
        </c:spPr>
        <c:dLbl>
          <c:idx val="0"/>
          <c:layout>
            <c:manualLayout>
              <c:x val="-9.3591809611244012E-2"/>
              <c:y val="-6.963155271499489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74F69"/>
          </a:solidFill>
          <a:ln>
            <a:noFill/>
          </a:ln>
          <a:effectLst/>
        </c:spPr>
        <c:dLbl>
          <c:idx val="0"/>
          <c:layout>
            <c:manualLayout>
              <c:x val="-9.359180961124394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74F69"/>
          </a:solidFill>
          <a:ln>
            <a:noFill/>
          </a:ln>
          <a:effectLst/>
        </c:spPr>
        <c:dLbl>
          <c:idx val="0"/>
          <c:layout>
            <c:manualLayout>
              <c:x val="-0.1007911795813396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74F69"/>
          </a:solidFill>
          <a:ln>
            <a:noFill/>
          </a:ln>
          <a:effectLst/>
        </c:spPr>
        <c:dLbl>
          <c:idx val="0"/>
          <c:layout>
            <c:manualLayout>
              <c:x val="-0.10259102207386356"/>
              <c:y val="3.79812856934352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rgbClr val="074F69"/>
            </a:solidFill>
            <a:ln>
              <a:noFill/>
            </a:ln>
            <a:effectLst/>
          </c:spPr>
          <c:invertIfNegative val="0"/>
          <c:dPt>
            <c:idx val="0"/>
            <c:invertIfNegative val="0"/>
            <c:bubble3D val="0"/>
            <c:spPr>
              <a:solidFill>
                <a:srgbClr val="074F69"/>
              </a:solidFill>
              <a:ln>
                <a:noFill/>
              </a:ln>
              <a:effectLst/>
            </c:spPr>
            <c:extLst>
              <c:ext xmlns:c16="http://schemas.microsoft.com/office/drawing/2014/chart" uri="{C3380CC4-5D6E-409C-BE32-E72D297353CC}">
                <c16:uniqueId val="{00000006-75FF-4EE4-8903-6416F1CC0209}"/>
              </c:ext>
            </c:extLst>
          </c:dPt>
          <c:dPt>
            <c:idx val="1"/>
            <c:invertIfNegative val="0"/>
            <c:bubble3D val="0"/>
            <c:spPr>
              <a:solidFill>
                <a:srgbClr val="074F69"/>
              </a:solidFill>
              <a:ln>
                <a:noFill/>
              </a:ln>
              <a:effectLst/>
            </c:spPr>
            <c:extLst>
              <c:ext xmlns:c16="http://schemas.microsoft.com/office/drawing/2014/chart" uri="{C3380CC4-5D6E-409C-BE32-E72D297353CC}">
                <c16:uniqueId val="{00000005-75FF-4EE4-8903-6416F1CC0209}"/>
              </c:ext>
            </c:extLst>
          </c:dPt>
          <c:dPt>
            <c:idx val="2"/>
            <c:invertIfNegative val="0"/>
            <c:bubble3D val="0"/>
            <c:spPr>
              <a:solidFill>
                <a:srgbClr val="074F69"/>
              </a:solidFill>
              <a:ln>
                <a:noFill/>
              </a:ln>
              <a:effectLst/>
            </c:spPr>
            <c:extLst>
              <c:ext xmlns:c16="http://schemas.microsoft.com/office/drawing/2014/chart" uri="{C3380CC4-5D6E-409C-BE32-E72D297353CC}">
                <c16:uniqueId val="{00000004-75FF-4EE4-8903-6416F1CC0209}"/>
              </c:ext>
            </c:extLst>
          </c:dPt>
          <c:dPt>
            <c:idx val="3"/>
            <c:invertIfNegative val="0"/>
            <c:bubble3D val="0"/>
            <c:spPr>
              <a:solidFill>
                <a:srgbClr val="074F69"/>
              </a:solidFill>
              <a:ln>
                <a:noFill/>
              </a:ln>
              <a:effectLst/>
            </c:spPr>
            <c:extLst>
              <c:ext xmlns:c16="http://schemas.microsoft.com/office/drawing/2014/chart" uri="{C3380CC4-5D6E-409C-BE32-E72D297353CC}">
                <c16:uniqueId val="{00000003-75FF-4EE4-8903-6416F1CC0209}"/>
              </c:ext>
            </c:extLst>
          </c:dPt>
          <c:dPt>
            <c:idx val="4"/>
            <c:invertIfNegative val="0"/>
            <c:bubble3D val="0"/>
            <c:spPr>
              <a:solidFill>
                <a:srgbClr val="074F69"/>
              </a:solidFill>
              <a:ln>
                <a:noFill/>
              </a:ln>
              <a:effectLst/>
            </c:spPr>
            <c:extLst>
              <c:ext xmlns:c16="http://schemas.microsoft.com/office/drawing/2014/chart" uri="{C3380CC4-5D6E-409C-BE32-E72D297353CC}">
                <c16:uniqueId val="{00000002-75FF-4EE4-8903-6416F1CC0209}"/>
              </c:ext>
            </c:extLst>
          </c:dPt>
          <c:dPt>
            <c:idx val="5"/>
            <c:invertIfNegative val="0"/>
            <c:bubble3D val="0"/>
            <c:spPr>
              <a:solidFill>
                <a:srgbClr val="074F69"/>
              </a:solidFill>
              <a:ln>
                <a:noFill/>
              </a:ln>
              <a:effectLst/>
            </c:spPr>
            <c:extLst>
              <c:ext xmlns:c16="http://schemas.microsoft.com/office/drawing/2014/chart" uri="{C3380CC4-5D6E-409C-BE32-E72D297353CC}">
                <c16:uniqueId val="{00000001-75FF-4EE4-8903-6416F1CC0209}"/>
              </c:ext>
            </c:extLst>
          </c:dPt>
          <c:dLbls>
            <c:dLbl>
              <c:idx val="0"/>
              <c:layout>
                <c:manualLayout>
                  <c:x val="-0.10259102207386356"/>
                  <c:y val="3.798128569343520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FF-4EE4-8903-6416F1CC0209}"/>
                </c:ext>
              </c:extLst>
            </c:dLbl>
            <c:dLbl>
              <c:idx val="1"/>
              <c:layout>
                <c:manualLayout>
                  <c:x val="-0.1007911795813396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FF-4EE4-8903-6416F1CC0209}"/>
                </c:ext>
              </c:extLst>
            </c:dLbl>
            <c:dLbl>
              <c:idx val="2"/>
              <c:layout>
                <c:manualLayout>
                  <c:x val="-9.359180961124394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FF-4EE4-8903-6416F1CC0209}"/>
                </c:ext>
              </c:extLst>
            </c:dLbl>
            <c:dLbl>
              <c:idx val="3"/>
              <c:layout>
                <c:manualLayout>
                  <c:x val="-9.3591809611244012E-2"/>
                  <c:y val="-6.963155271499489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FF-4EE4-8903-6416F1CC0209}"/>
                </c:ext>
              </c:extLst>
            </c:dLbl>
            <c:dLbl>
              <c:idx val="4"/>
              <c:layout>
                <c:manualLayout>
                  <c:x val="-8.819228213367218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FF-4EE4-8903-6416F1CC0209}"/>
                </c:ext>
              </c:extLst>
            </c:dLbl>
            <c:dLbl>
              <c:idx val="5"/>
              <c:layout>
                <c:manualLayout>
                  <c:x val="-0.1061907070589114"/>
                  <c:y val="-3.481577635749744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FF-4EE4-8903-6416F1CC02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pivot!$B$4:$B$10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75FF-4EE4-8903-6416F1CC0209}"/>
            </c:ext>
          </c:extLst>
        </c:ser>
        <c:dLbls>
          <c:dLblPos val="outEnd"/>
          <c:showLegendKey val="0"/>
          <c:showVal val="1"/>
          <c:showCatName val="0"/>
          <c:showSerName val="0"/>
          <c:showPercent val="0"/>
          <c:showBubbleSize val="0"/>
        </c:dLbls>
        <c:gapWidth val="20"/>
        <c:axId val="258178783"/>
        <c:axId val="258171103"/>
      </c:barChart>
      <c:catAx>
        <c:axId val="258178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58171103"/>
        <c:crosses val="autoZero"/>
        <c:auto val="1"/>
        <c:lblAlgn val="ctr"/>
        <c:lblOffset val="100"/>
        <c:noMultiLvlLbl val="0"/>
      </c:catAx>
      <c:valAx>
        <c:axId val="258171103"/>
        <c:scaling>
          <c:orientation val="minMax"/>
        </c:scaling>
        <c:delete val="1"/>
        <c:axPos val="b"/>
        <c:numFmt formatCode="General" sourceLinked="1"/>
        <c:majorTickMark val="out"/>
        <c:minorTickMark val="none"/>
        <c:tickLblPos val="nextTo"/>
        <c:crossAx val="2581787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[Sales_Dashboard_Excel.xlsx]pivot!PivotTable2</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b="1"/>
              <a:t>City</a:t>
            </a:r>
            <a:r>
              <a:rPr lang="en-IN" sz="1600" b="1" baseline="0"/>
              <a:t> Performance</a:t>
            </a:r>
          </a:p>
          <a:p>
            <a:pPr algn="ctr">
              <a:defRPr/>
            </a:pPr>
            <a:endParaRPr lang="en-IN"/>
          </a:p>
        </c:rich>
      </c:tx>
      <c:layout>
        <c:manualLayout>
          <c:xMode val="edge"/>
          <c:yMode val="edge"/>
          <c:x val="0.37993842168432579"/>
          <c:y val="9.8531683949149886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4F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10206462281721E-2"/>
          <c:y val="0.16839064786909716"/>
          <c:w val="0.95017958707543659"/>
          <c:h val="0.60462493759336755"/>
        </c:manualLayout>
      </c:layout>
      <c:barChart>
        <c:barDir val="col"/>
        <c:grouping val="clustered"/>
        <c:varyColors val="0"/>
        <c:ser>
          <c:idx val="0"/>
          <c:order val="0"/>
          <c:tx>
            <c:strRef>
              <c:f>pivot!$B$16</c:f>
              <c:strCache>
                <c:ptCount val="1"/>
                <c:pt idx="0">
                  <c:v>Total</c:v>
                </c:pt>
              </c:strCache>
            </c:strRef>
          </c:tx>
          <c:spPr>
            <a:solidFill>
              <a:srgbClr val="084F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pivot!$A$17:$A$20</c:f>
              <c:strCache>
                <c:ptCount val="3"/>
                <c:pt idx="0">
                  <c:v>Mandalay</c:v>
                </c:pt>
                <c:pt idx="1">
                  <c:v>Naypyitaw</c:v>
                </c:pt>
                <c:pt idx="2">
                  <c:v>Yangon</c:v>
                </c:pt>
              </c:strCache>
            </c:strRef>
          </c:cat>
          <c:val>
            <c:numRef>
              <c:f>pivot!$B$17:$B$20</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D135-4438-9542-5B4B6098ADC9}"/>
            </c:ext>
          </c:extLst>
        </c:ser>
        <c:dLbls>
          <c:dLblPos val="outEnd"/>
          <c:showLegendKey val="0"/>
          <c:showVal val="1"/>
          <c:showCatName val="0"/>
          <c:showSerName val="0"/>
          <c:showPercent val="0"/>
          <c:showBubbleSize val="0"/>
        </c:dLbls>
        <c:gapWidth val="150"/>
        <c:axId val="258172543"/>
        <c:axId val="258167743"/>
      </c:barChart>
      <c:catAx>
        <c:axId val="258172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258167743"/>
        <c:crosses val="autoZero"/>
        <c:auto val="1"/>
        <c:lblAlgn val="ctr"/>
        <c:lblOffset val="100"/>
        <c:noMultiLvlLbl val="0"/>
      </c:catAx>
      <c:valAx>
        <c:axId val="258167743"/>
        <c:scaling>
          <c:orientation val="minMax"/>
        </c:scaling>
        <c:delete val="1"/>
        <c:axPos val="l"/>
        <c:numFmt formatCode="General" sourceLinked="1"/>
        <c:majorTickMark val="out"/>
        <c:minorTickMark val="none"/>
        <c:tickLblPos val="nextTo"/>
        <c:crossAx val="258172543"/>
        <c:crosses val="autoZero"/>
        <c:crossBetween val="between"/>
      </c:valAx>
      <c:spPr>
        <a:noFill/>
        <a:ln>
          <a:noFill/>
        </a:ln>
        <a:effectLst/>
      </c:spPr>
    </c:plotArea>
    <c:legend>
      <c:legendPos val="b"/>
      <c:layout>
        <c:manualLayout>
          <c:xMode val="edge"/>
          <c:yMode val="edge"/>
          <c:x val="0.85335962378960772"/>
          <c:y val="7.5214785930559636E-2"/>
          <c:w val="8.7037094579058255E-2"/>
          <c:h val="8.70603773742266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[Sales_Dashboard_Excel.xlsx]pivot!PivotTable3</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a:t>
            </a:r>
            <a:endParaRPr lang="en-US" sz="1600" b="1"/>
          </a:p>
        </c:rich>
      </c:tx>
      <c:layout>
        <c:manualLayout>
          <c:xMode val="edge"/>
          <c:yMode val="edge"/>
          <c:x val="0.392447817379315"/>
          <c:y val="3.039843491942420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0.14431315635920952"/>
              <c:y val="-7.8491391897261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C769E"/>
            </a:solidFill>
            <a:round/>
          </a:ln>
          <a:effectLst/>
        </c:spPr>
        <c:marker>
          <c:symbol val="none"/>
        </c:marker>
        <c:dLbl>
          <c:idx val="0"/>
          <c:layout>
            <c:manualLayout>
              <c:x val="-6.3696182525684E-2"/>
              <c:y val="5.8301565240147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C769E"/>
            </a:solidFill>
            <a:round/>
          </a:ln>
          <a:effectLst/>
        </c:spPr>
        <c:marker>
          <c:symbol val="none"/>
        </c:marker>
        <c:dLbl>
          <c:idx val="0"/>
          <c:layout>
            <c:manualLayout>
              <c:x val="-1.4064644213207404E-2"/>
              <c:y val="-6.329217443754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pivot!$B$26</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2-444B-488A-B92C-74243D65CCE0}"/>
              </c:ext>
            </c:extLst>
          </c:dPt>
          <c:dPt>
            <c:idx val="1"/>
            <c:marker>
              <c:symbol val="none"/>
            </c:marker>
            <c:bubble3D val="0"/>
            <c:spPr>
              <a:ln w="28575" cap="rnd">
                <a:solidFill>
                  <a:srgbClr val="0C769E"/>
                </a:solidFill>
                <a:round/>
              </a:ln>
              <a:effectLst/>
            </c:spPr>
            <c:extLst>
              <c:ext xmlns:c16="http://schemas.microsoft.com/office/drawing/2014/chart" uri="{C3380CC4-5D6E-409C-BE32-E72D297353CC}">
                <c16:uniqueId val="{00000001-444B-488A-B92C-74243D65CCE0}"/>
              </c:ext>
            </c:extLst>
          </c:dPt>
          <c:dPt>
            <c:idx val="2"/>
            <c:marker>
              <c:symbol val="none"/>
            </c:marker>
            <c:bubble3D val="0"/>
            <c:spPr>
              <a:ln w="28575" cap="rnd">
                <a:solidFill>
                  <a:srgbClr val="0C769E"/>
                </a:solidFill>
                <a:round/>
              </a:ln>
              <a:effectLst/>
            </c:spPr>
            <c:extLst>
              <c:ext xmlns:c16="http://schemas.microsoft.com/office/drawing/2014/chart" uri="{C3380CC4-5D6E-409C-BE32-E72D297353CC}">
                <c16:uniqueId val="{00000003-444B-488A-B92C-74243D65CCE0}"/>
              </c:ext>
            </c:extLst>
          </c:dPt>
          <c:dLbls>
            <c:dLbl>
              <c:idx val="0"/>
              <c:layout>
                <c:manualLayout>
                  <c:x val="-0.14431315635920952"/>
                  <c:y val="-7.8491391897261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4B-488A-B92C-74243D65CCE0}"/>
                </c:ext>
              </c:extLst>
            </c:dLbl>
            <c:dLbl>
              <c:idx val="1"/>
              <c:layout>
                <c:manualLayout>
                  <c:x val="-6.3696182525684E-2"/>
                  <c:y val="5.83015652401476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4B-488A-B92C-74243D65CCE0}"/>
                </c:ext>
              </c:extLst>
            </c:dLbl>
            <c:dLbl>
              <c:idx val="2"/>
              <c:layout>
                <c:manualLayout>
                  <c:x val="-1.4064644213207404E-2"/>
                  <c:y val="-6.3292174437549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4B-488A-B92C-74243D65CC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pivot!$A$27:$A$30</c:f>
              <c:strCache>
                <c:ptCount val="3"/>
                <c:pt idx="0">
                  <c:v>Jan</c:v>
                </c:pt>
                <c:pt idx="1">
                  <c:v>Feb</c:v>
                </c:pt>
                <c:pt idx="2">
                  <c:v>Mar</c:v>
                </c:pt>
              </c:strCache>
            </c:strRef>
          </c:cat>
          <c:val>
            <c:numRef>
              <c:f>pivot!$B$27:$B$30</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444B-488A-B92C-74243D65CCE0}"/>
            </c:ext>
          </c:extLst>
        </c:ser>
        <c:dLbls>
          <c:dLblPos val="t"/>
          <c:showLegendKey val="0"/>
          <c:showVal val="1"/>
          <c:showCatName val="0"/>
          <c:showSerName val="0"/>
          <c:showPercent val="0"/>
          <c:showBubbleSize val="0"/>
        </c:dLbls>
        <c:smooth val="0"/>
        <c:axId val="258170623"/>
        <c:axId val="258180223"/>
      </c:lineChart>
      <c:catAx>
        <c:axId val="25817062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58180223"/>
        <c:crosses val="autoZero"/>
        <c:auto val="1"/>
        <c:lblAlgn val="ctr"/>
        <c:lblOffset val="100"/>
        <c:noMultiLvlLbl val="0"/>
      </c:catAx>
      <c:valAx>
        <c:axId val="258180223"/>
        <c:scaling>
          <c:orientation val="minMax"/>
        </c:scaling>
        <c:delete val="1"/>
        <c:axPos val="l"/>
        <c:numFmt formatCode="General" sourceLinked="1"/>
        <c:majorTickMark val="out"/>
        <c:minorTickMark val="none"/>
        <c:tickLblPos val="nextTo"/>
        <c:crossAx val="258170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Payment</a:t>
            </a:r>
            <a:r>
              <a:rPr lang="en-US" sz="1600" b="1" baseline="0"/>
              <a:t> Analysis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C769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solidFill>
              <a:schemeClr val="accent1">
                <a:lumMod val="75000"/>
              </a:schemeClr>
            </a:solidFill>
          </a:ln>
          <a:effectLst/>
        </c:spPr>
      </c:pivotFmt>
      <c:pivotFmt>
        <c:idx val="7"/>
        <c:spPr>
          <a:solidFill>
            <a:srgbClr val="0C769E"/>
          </a:solidFill>
          <a:ln w="19050">
            <a:noFill/>
          </a:ln>
          <a:effectLst/>
        </c:spPr>
      </c:pivotFmt>
      <c:pivotFmt>
        <c:idx val="8"/>
        <c:spPr>
          <a:solidFill>
            <a:schemeClr val="accent1">
              <a:lumMod val="75000"/>
            </a:schemeClr>
          </a:solidFill>
          <a:ln w="19050">
            <a:noFill/>
          </a:ln>
          <a:effectLst/>
        </c:spP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3469354999873701"/>
                  <c:h val="0.13058982046424145"/>
                </c:manualLayout>
              </c15:layout>
            </c:ext>
          </c:extLst>
        </c:dLbl>
      </c:pivotFmt>
    </c:pivotFmts>
    <c:plotArea>
      <c:layout>
        <c:manualLayout>
          <c:layoutTarget val="inner"/>
          <c:xMode val="edge"/>
          <c:yMode val="edge"/>
          <c:x val="0.24579892819939056"/>
          <c:y val="0.16034510819139522"/>
          <c:w val="0.4848278298131482"/>
          <c:h val="0.80474348502222715"/>
        </c:manualLayout>
      </c:layout>
      <c:doughnutChart>
        <c:varyColors val="1"/>
        <c:ser>
          <c:idx val="0"/>
          <c:order val="0"/>
          <c:tx>
            <c:strRef>
              <c:f>pivot!$B$36</c:f>
              <c:strCache>
                <c:ptCount val="1"/>
                <c:pt idx="0">
                  <c:v>Total</c:v>
                </c:pt>
              </c:strCache>
            </c:strRef>
          </c:tx>
          <c:spPr>
            <a:solidFill>
              <a:srgbClr val="0C769E"/>
            </a:solidFill>
          </c:spPr>
          <c:dPt>
            <c:idx val="0"/>
            <c:bubble3D val="0"/>
            <c:explosion val="7"/>
            <c:spPr>
              <a:solidFill>
                <a:schemeClr val="accent1">
                  <a:lumMod val="50000"/>
                </a:schemeClr>
              </a:solidFill>
              <a:ln w="19050">
                <a:solidFill>
                  <a:schemeClr val="accent1">
                    <a:lumMod val="75000"/>
                  </a:schemeClr>
                </a:solidFill>
              </a:ln>
              <a:effectLst/>
            </c:spPr>
            <c:extLst>
              <c:ext xmlns:c16="http://schemas.microsoft.com/office/drawing/2014/chart" uri="{C3380CC4-5D6E-409C-BE32-E72D297353CC}">
                <c16:uniqueId val="{00000001-4BF9-4A2A-9F44-0891CEC5BFA2}"/>
              </c:ext>
            </c:extLst>
          </c:dPt>
          <c:dPt>
            <c:idx val="1"/>
            <c:bubble3D val="0"/>
            <c:explosion val="7"/>
            <c:spPr>
              <a:solidFill>
                <a:srgbClr val="0C769E"/>
              </a:solidFill>
              <a:ln w="19050">
                <a:noFill/>
              </a:ln>
              <a:effectLst/>
            </c:spPr>
            <c:extLst>
              <c:ext xmlns:c16="http://schemas.microsoft.com/office/drawing/2014/chart" uri="{C3380CC4-5D6E-409C-BE32-E72D297353CC}">
                <c16:uniqueId val="{00000003-4BF9-4A2A-9F44-0891CEC5BFA2}"/>
              </c:ext>
            </c:extLst>
          </c:dPt>
          <c:dPt>
            <c:idx val="2"/>
            <c:bubble3D val="0"/>
            <c:explosion val="6"/>
            <c:spPr>
              <a:solidFill>
                <a:schemeClr val="accent1">
                  <a:lumMod val="75000"/>
                </a:schemeClr>
              </a:solidFill>
              <a:ln w="19050">
                <a:noFill/>
              </a:ln>
              <a:effectLst/>
            </c:spPr>
            <c:extLst>
              <c:ext xmlns:c16="http://schemas.microsoft.com/office/drawing/2014/chart" uri="{C3380CC4-5D6E-409C-BE32-E72D297353CC}">
                <c16:uniqueId val="{00000005-4BF9-4A2A-9F44-0891CEC5BFA2}"/>
              </c:ext>
            </c:extLst>
          </c:dPt>
          <c:dLbls>
            <c:dLbl>
              <c:idx val="2"/>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3469354999873701"/>
                      <c:h val="0.13058982046424145"/>
                    </c:manualLayout>
                  </c15:layout>
                </c:ext>
                <c:ext xmlns:c16="http://schemas.microsoft.com/office/drawing/2014/chart" uri="{C3380CC4-5D6E-409C-BE32-E72D297353CC}">
                  <c16:uniqueId val="{00000005-4BF9-4A2A-9F44-0891CEC5BFA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pivot!$A$37:$A$40</c:f>
              <c:strCache>
                <c:ptCount val="3"/>
                <c:pt idx="0">
                  <c:v>Cash</c:v>
                </c:pt>
                <c:pt idx="1">
                  <c:v>Credit card</c:v>
                </c:pt>
                <c:pt idx="2">
                  <c:v>Ewallet</c:v>
                </c:pt>
              </c:strCache>
            </c:strRef>
          </c:cat>
          <c:val>
            <c:numRef>
              <c:f>pivot!$B$37:$B$40</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6-4BF9-4A2A-9F44-0891CEC5BFA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6.svg"/><Relationship Id="rId5" Type="http://schemas.openxmlformats.org/officeDocument/2006/relationships/chart" Target="../charts/chart6.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chart" Target="../charts/chart10.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152400</xdr:colOff>
      <xdr:row>0</xdr:row>
      <xdr:rowOff>0</xdr:rowOff>
    </xdr:from>
    <xdr:to>
      <xdr:col>10</xdr:col>
      <xdr:colOff>251460</xdr:colOff>
      <xdr:row>11</xdr:row>
      <xdr:rowOff>121920</xdr:rowOff>
    </xdr:to>
    <xdr:graphicFrame macro="">
      <xdr:nvGraphicFramePr>
        <xdr:cNvPr id="2" name="Chart 1">
          <a:extLst>
            <a:ext uri="{FF2B5EF4-FFF2-40B4-BE49-F238E27FC236}">
              <a16:creationId xmlns:a16="http://schemas.microsoft.com/office/drawing/2014/main" id="{B5640251-BD0B-DFE9-0169-7FD717879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160020</xdr:colOff>
      <xdr:row>12</xdr:row>
      <xdr:rowOff>72390</xdr:rowOff>
    </xdr:from>
    <xdr:to>
      <xdr:col>9</xdr:col>
      <xdr:colOff>335280</xdr:colOff>
      <xdr:row>21</xdr:row>
      <xdr:rowOff>114300</xdr:rowOff>
    </xdr:to>
    <xdr:graphicFrame macro="">
      <xdr:nvGraphicFramePr>
        <xdr:cNvPr id="3" name="Chart 2">
          <a:extLst>
            <a:ext uri="{FF2B5EF4-FFF2-40B4-BE49-F238E27FC236}">
              <a16:creationId xmlns:a16="http://schemas.microsoft.com/office/drawing/2014/main" id="{B12044A9-38A6-7FD6-7578-B84519262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358140</xdr:colOff>
      <xdr:row>21</xdr:row>
      <xdr:rowOff>140970</xdr:rowOff>
    </xdr:from>
    <xdr:to>
      <xdr:col>9</xdr:col>
      <xdr:colOff>388620</xdr:colOff>
      <xdr:row>30</xdr:row>
      <xdr:rowOff>30480</xdr:rowOff>
    </xdr:to>
    <xdr:graphicFrame macro="">
      <xdr:nvGraphicFramePr>
        <xdr:cNvPr id="4" name="Chart 3">
          <a:extLst>
            <a:ext uri="{FF2B5EF4-FFF2-40B4-BE49-F238E27FC236}">
              <a16:creationId xmlns:a16="http://schemas.microsoft.com/office/drawing/2014/main" id="{6E525C6C-CFC5-6B27-6D19-4A2F5CD95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411480</xdr:colOff>
      <xdr:row>31</xdr:row>
      <xdr:rowOff>133350</xdr:rowOff>
    </xdr:from>
    <xdr:to>
      <xdr:col>9</xdr:col>
      <xdr:colOff>331694</xdr:colOff>
      <xdr:row>42</xdr:row>
      <xdr:rowOff>0</xdr:rowOff>
    </xdr:to>
    <xdr:graphicFrame macro="">
      <xdr:nvGraphicFramePr>
        <xdr:cNvPr id="5" name="Chart 4">
          <a:extLst>
            <a:ext uri="{FF2B5EF4-FFF2-40B4-BE49-F238E27FC236}">
              <a16:creationId xmlns:a16="http://schemas.microsoft.com/office/drawing/2014/main" id="{E2FB42D2-E949-9C18-F767-2DED791C5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373380</xdr:colOff>
      <xdr:row>42</xdr:row>
      <xdr:rowOff>34290</xdr:rowOff>
    </xdr:from>
    <xdr:to>
      <xdr:col>9</xdr:col>
      <xdr:colOff>322730</xdr:colOff>
      <xdr:row>50</xdr:row>
      <xdr:rowOff>167640</xdr:rowOff>
    </xdr:to>
    <xdr:graphicFrame macro="">
      <xdr:nvGraphicFramePr>
        <xdr:cNvPr id="6" name="Chart 5">
          <a:extLst>
            <a:ext uri="{FF2B5EF4-FFF2-40B4-BE49-F238E27FC236}">
              <a16:creationId xmlns:a16="http://schemas.microsoft.com/office/drawing/2014/main" id="{39C270EF-128B-A12F-7056-B971C08E8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179295</xdr:colOff>
      <xdr:row>12</xdr:row>
      <xdr:rowOff>76986</xdr:rowOff>
    </xdr:from>
    <xdr:to>
      <xdr:col>18</xdr:col>
      <xdr:colOff>1189257</xdr:colOff>
      <xdr:row>25</xdr:row>
      <xdr:rowOff>146479</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634C1C64-8842-1DCA-CDF0-C73CA79E4AF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670677" y="2250927"/>
              <a:ext cx="1839198" cy="2422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323040</xdr:colOff>
      <xdr:row>28</xdr:row>
      <xdr:rowOff>16314</xdr:rowOff>
    </xdr:from>
    <xdr:to>
      <xdr:col>14</xdr:col>
      <xdr:colOff>293566</xdr:colOff>
      <xdr:row>41</xdr:row>
      <xdr:rowOff>101500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42778472-441B-61F6-A81B-50E26ABFA0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125011" y="5081373"/>
              <a:ext cx="1830702" cy="2438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383041</xdr:colOff>
      <xdr:row>12</xdr:row>
      <xdr:rowOff>151006</xdr:rowOff>
    </xdr:from>
    <xdr:to>
      <xdr:col>14</xdr:col>
      <xdr:colOff>351086</xdr:colOff>
      <xdr:row>26</xdr:row>
      <xdr:rowOff>32609</xdr:rowOff>
    </xdr:to>
    <mc:AlternateContent xmlns:mc="http://schemas.openxmlformats.org/markup-compatibility/2006">
      <mc:Choice xmlns:a14="http://schemas.microsoft.com/office/drawing/2010/main" Requires="a14">
        <xdr:graphicFrame macro="">
          <xdr:nvGraphicFramePr>
            <xdr:cNvPr id="9" name="Product line">
              <a:extLst>
                <a:ext uri="{FF2B5EF4-FFF2-40B4-BE49-F238E27FC236}">
                  <a16:creationId xmlns:a16="http://schemas.microsoft.com/office/drawing/2014/main" id="{14303863-45B0-C63F-0E52-CC338DF8EC4C}"/>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7185012" y="2324947"/>
              <a:ext cx="1828221" cy="2414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104549</xdr:colOff>
      <xdr:row>1</xdr:row>
      <xdr:rowOff>73088</xdr:rowOff>
    </xdr:from>
    <xdr:to>
      <xdr:col>15</xdr:col>
      <xdr:colOff>153222</xdr:colOff>
      <xdr:row>8</xdr:row>
      <xdr:rowOff>477</xdr:rowOff>
    </xdr:to>
    <mc:AlternateContent xmlns:mc="http://schemas.openxmlformats.org/markup-compatibility/2006">
      <mc:Choice xmlns:a14="http://schemas.microsoft.com/office/drawing/2010/main" Requires="a14">
        <xdr:graphicFrame macro="">
          <xdr:nvGraphicFramePr>
            <xdr:cNvPr id="20" name="Months (Date)">
              <a:extLst>
                <a:ext uri="{FF2B5EF4-FFF2-40B4-BE49-F238E27FC236}">
                  <a16:creationId xmlns:a16="http://schemas.microsoft.com/office/drawing/2014/main" id="{FA0BEE33-7C81-2B4D-E53F-D827693FFCA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7388373" y="252382"/>
              <a:ext cx="1841614" cy="1204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53789</xdr:colOff>
      <xdr:row>0</xdr:row>
      <xdr:rowOff>25831</xdr:rowOff>
    </xdr:from>
    <xdr:to>
      <xdr:col>24</xdr:col>
      <xdr:colOff>568036</xdr:colOff>
      <xdr:row>39</xdr:row>
      <xdr:rowOff>110836</xdr:rowOff>
    </xdr:to>
    <xdr:sp macro="" textlink="">
      <xdr:nvSpPr>
        <xdr:cNvPr id="2" name="Rectangle: Rounded Corners 1">
          <a:extLst>
            <a:ext uri="{FF2B5EF4-FFF2-40B4-BE49-F238E27FC236}">
              <a16:creationId xmlns:a16="http://schemas.microsoft.com/office/drawing/2014/main" id="{87785FF8-147C-2BD4-024D-0712F1C0321C}"/>
            </a:ext>
          </a:extLst>
        </xdr:cNvPr>
        <xdr:cNvSpPr/>
      </xdr:nvSpPr>
      <xdr:spPr>
        <a:xfrm>
          <a:off x="53789" y="25831"/>
          <a:ext cx="15144647" cy="7109260"/>
        </a:xfrm>
        <a:prstGeom prst="roundRect">
          <a:avLst>
            <a:gd name="adj" fmla="val 2206"/>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102075</xdr:colOff>
      <xdr:row>0</xdr:row>
      <xdr:rowOff>48846</xdr:rowOff>
    </xdr:from>
    <xdr:to>
      <xdr:col>3</xdr:col>
      <xdr:colOff>374072</xdr:colOff>
      <xdr:row>5</xdr:row>
      <xdr:rowOff>45521</xdr:rowOff>
    </xdr:to>
    <xdr:sp macro="" textlink="">
      <xdr:nvSpPr>
        <xdr:cNvPr id="3" name="Rectangle: Rounded Corners 2">
          <a:extLst>
            <a:ext uri="{FF2B5EF4-FFF2-40B4-BE49-F238E27FC236}">
              <a16:creationId xmlns:a16="http://schemas.microsoft.com/office/drawing/2014/main" id="{D852FB94-9034-EFA6-7A99-C5CA9448CD50}"/>
            </a:ext>
          </a:extLst>
        </xdr:cNvPr>
        <xdr:cNvSpPr/>
      </xdr:nvSpPr>
      <xdr:spPr>
        <a:xfrm>
          <a:off x="102075" y="48846"/>
          <a:ext cx="2089074" cy="1120137"/>
        </a:xfrm>
        <a:prstGeom prst="roundRect">
          <a:avLst>
            <a:gd name="adj" fmla="val 32"/>
          </a:avLst>
        </a:prstGeom>
        <a:solidFill>
          <a:srgbClr val="0C769E"/>
        </a:soli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3</xdr:col>
      <xdr:colOff>389875</xdr:colOff>
      <xdr:row>0</xdr:row>
      <xdr:rowOff>59810</xdr:rowOff>
    </xdr:from>
    <xdr:to>
      <xdr:col>24</xdr:col>
      <xdr:colOff>528420</xdr:colOff>
      <xdr:row>5</xdr:row>
      <xdr:rowOff>32917</xdr:rowOff>
    </xdr:to>
    <xdr:sp macro="" textlink="">
      <xdr:nvSpPr>
        <xdr:cNvPr id="5" name="Rectangle: Rounded Corners 4">
          <a:extLst>
            <a:ext uri="{FF2B5EF4-FFF2-40B4-BE49-F238E27FC236}">
              <a16:creationId xmlns:a16="http://schemas.microsoft.com/office/drawing/2014/main" id="{202D929E-1E40-42CE-89F6-D9367857E97C}"/>
            </a:ext>
          </a:extLst>
        </xdr:cNvPr>
        <xdr:cNvSpPr/>
      </xdr:nvSpPr>
      <xdr:spPr>
        <a:xfrm>
          <a:off x="2206952" y="59810"/>
          <a:ext cx="12858083" cy="1096569"/>
        </a:xfrm>
        <a:prstGeom prst="roundRect">
          <a:avLst>
            <a:gd name="adj" fmla="val 119"/>
          </a:avLst>
        </a:prstGeom>
        <a:solidFill>
          <a:srgbClr val="0C769E"/>
        </a:soli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r>
            <a:rPr lang="en-IN" sz="1400">
              <a:latin typeface="Times New Roman" panose="02020603050405020304" pitchFamily="18" charset="0"/>
              <a:cs typeface="Times New Roman" panose="02020603050405020304" pitchFamily="18" charset="0"/>
            </a:rPr>
            <a:t> </a:t>
          </a:r>
        </a:p>
      </xdr:txBody>
    </xdr:sp>
    <xdr:clientData/>
  </xdr:twoCellAnchor>
  <xdr:twoCellAnchor>
    <xdr:from>
      <xdr:col>0</xdr:col>
      <xdr:colOff>95250</xdr:colOff>
      <xdr:row>5</xdr:row>
      <xdr:rowOff>85178</xdr:rowOff>
    </xdr:from>
    <xdr:to>
      <xdr:col>3</xdr:col>
      <xdr:colOff>368794</xdr:colOff>
      <xdr:row>39</xdr:row>
      <xdr:rowOff>84667</xdr:rowOff>
    </xdr:to>
    <xdr:sp macro="" textlink="">
      <xdr:nvSpPr>
        <xdr:cNvPr id="6" name="Rectangle: Rounded Corners 5">
          <a:extLst>
            <a:ext uri="{FF2B5EF4-FFF2-40B4-BE49-F238E27FC236}">
              <a16:creationId xmlns:a16="http://schemas.microsoft.com/office/drawing/2014/main" id="{06133B4D-1F51-4D99-9CC2-E569DBA8DD24}"/>
            </a:ext>
          </a:extLst>
        </xdr:cNvPr>
        <xdr:cNvSpPr/>
      </xdr:nvSpPr>
      <xdr:spPr>
        <a:xfrm>
          <a:off x="95250" y="978147"/>
          <a:ext cx="2095200" cy="6071676"/>
        </a:xfrm>
        <a:prstGeom prst="roundRect">
          <a:avLst>
            <a:gd name="adj" fmla="val 3589"/>
          </a:avLst>
        </a:prstGeom>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12</xdr:col>
      <xdr:colOff>15629</xdr:colOff>
      <xdr:row>5</xdr:row>
      <xdr:rowOff>69883</xdr:rowOff>
    </xdr:from>
    <xdr:to>
      <xdr:col>14</xdr:col>
      <xdr:colOff>442791</xdr:colOff>
      <xdr:row>10</xdr:row>
      <xdr:rowOff>48114</xdr:rowOff>
    </xdr:to>
    <xdr:sp macro="" textlink="">
      <xdr:nvSpPr>
        <xdr:cNvPr id="7" name="Rectangle: Rounded Corners 6">
          <a:extLst>
            <a:ext uri="{FF2B5EF4-FFF2-40B4-BE49-F238E27FC236}">
              <a16:creationId xmlns:a16="http://schemas.microsoft.com/office/drawing/2014/main" id="{68B2EE68-8EA2-40AE-8DA0-E41250B6FE26}"/>
            </a:ext>
          </a:extLst>
        </xdr:cNvPr>
        <xdr:cNvSpPr/>
      </xdr:nvSpPr>
      <xdr:spPr>
        <a:xfrm>
          <a:off x="7302254" y="962852"/>
          <a:ext cx="1641600" cy="871200"/>
        </a:xfrm>
        <a:prstGeom prst="roundRect">
          <a:avLst>
            <a:gd name="adj" fmla="val 4106"/>
          </a:avLst>
        </a:prstGeom>
        <a:gradFill>
          <a:gsLst>
            <a:gs pos="0">
              <a:schemeClr val="bg1"/>
            </a:gs>
            <a:gs pos="95105">
              <a:schemeClr val="accent1">
                <a:lumMod val="60000"/>
                <a:lumOff val="40000"/>
              </a:schemeClr>
            </a:gs>
            <a:gs pos="57000">
              <a:srgbClr val="93C6F5"/>
            </a:gs>
            <a:gs pos="98000">
              <a:srgbClr val="93C6F5"/>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3</xdr:col>
      <xdr:colOff>404814</xdr:colOff>
      <xdr:row>5</xdr:row>
      <xdr:rowOff>62276</xdr:rowOff>
    </xdr:from>
    <xdr:to>
      <xdr:col>6</xdr:col>
      <xdr:colOff>260793</xdr:colOff>
      <xdr:row>10</xdr:row>
      <xdr:rowOff>35719</xdr:rowOff>
    </xdr:to>
    <xdr:sp macro="" textlink="">
      <xdr:nvSpPr>
        <xdr:cNvPr id="8" name="Rectangle: Rounded Corners 7">
          <a:extLst>
            <a:ext uri="{FF2B5EF4-FFF2-40B4-BE49-F238E27FC236}">
              <a16:creationId xmlns:a16="http://schemas.microsoft.com/office/drawing/2014/main" id="{FFF012A5-E04D-434A-B109-DC87DD8D0A1B}"/>
            </a:ext>
          </a:extLst>
        </xdr:cNvPr>
        <xdr:cNvSpPr/>
      </xdr:nvSpPr>
      <xdr:spPr>
        <a:xfrm>
          <a:off x="2226470" y="955245"/>
          <a:ext cx="1677636" cy="866412"/>
        </a:xfrm>
        <a:prstGeom prst="roundRect">
          <a:avLst>
            <a:gd name="adj" fmla="val 4106"/>
          </a:avLst>
        </a:prstGeom>
        <a:gradFill>
          <a:gsLst>
            <a:gs pos="0">
              <a:schemeClr val="bg1"/>
            </a:gs>
            <a:gs pos="95105">
              <a:schemeClr val="accent1">
                <a:lumMod val="60000"/>
                <a:lumOff val="40000"/>
              </a:schemeClr>
            </a:gs>
            <a:gs pos="57000">
              <a:srgbClr val="93C6F5"/>
            </a:gs>
            <a:gs pos="98000">
              <a:srgbClr val="93C6F5"/>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6</xdr:col>
      <xdr:colOff>282678</xdr:colOff>
      <xdr:row>5</xdr:row>
      <xdr:rowOff>57356</xdr:rowOff>
    </xdr:from>
    <xdr:to>
      <xdr:col>9</xdr:col>
      <xdr:colOff>139291</xdr:colOff>
      <xdr:row>10</xdr:row>
      <xdr:rowOff>40967</xdr:rowOff>
    </xdr:to>
    <xdr:sp macro="" textlink="">
      <xdr:nvSpPr>
        <xdr:cNvPr id="9" name="Rectangle: Rounded Corners 8">
          <a:extLst>
            <a:ext uri="{FF2B5EF4-FFF2-40B4-BE49-F238E27FC236}">
              <a16:creationId xmlns:a16="http://schemas.microsoft.com/office/drawing/2014/main" id="{FD49C070-C7B5-4817-B989-28EF15463450}"/>
            </a:ext>
          </a:extLst>
        </xdr:cNvPr>
        <xdr:cNvSpPr/>
      </xdr:nvSpPr>
      <xdr:spPr>
        <a:xfrm>
          <a:off x="3920613" y="958646"/>
          <a:ext cx="1675581" cy="884902"/>
        </a:xfrm>
        <a:prstGeom prst="roundRect">
          <a:avLst>
            <a:gd name="adj" fmla="val 4106"/>
          </a:avLst>
        </a:prstGeom>
        <a:gradFill>
          <a:gsLst>
            <a:gs pos="0">
              <a:schemeClr val="bg1"/>
            </a:gs>
            <a:gs pos="95105">
              <a:schemeClr val="accent1">
                <a:lumMod val="60000"/>
                <a:lumOff val="40000"/>
              </a:schemeClr>
            </a:gs>
            <a:gs pos="57000">
              <a:srgbClr val="93C6F5"/>
            </a:gs>
            <a:gs pos="98000">
              <a:srgbClr val="93C6F5"/>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9</xdr:col>
      <xdr:colOff>167667</xdr:colOff>
      <xdr:row>5</xdr:row>
      <xdr:rowOff>58488</xdr:rowOff>
    </xdr:from>
    <xdr:to>
      <xdr:col>11</xdr:col>
      <xdr:colOff>593240</xdr:colOff>
      <xdr:row>10</xdr:row>
      <xdr:rowOff>35718</xdr:rowOff>
    </xdr:to>
    <xdr:sp macro="" textlink="">
      <xdr:nvSpPr>
        <xdr:cNvPr id="10" name="Rectangle: Rounded Corners 9">
          <a:extLst>
            <a:ext uri="{FF2B5EF4-FFF2-40B4-BE49-F238E27FC236}">
              <a16:creationId xmlns:a16="http://schemas.microsoft.com/office/drawing/2014/main" id="{733C2134-FD57-4821-9B31-9C50955366BF}"/>
            </a:ext>
          </a:extLst>
        </xdr:cNvPr>
        <xdr:cNvSpPr/>
      </xdr:nvSpPr>
      <xdr:spPr>
        <a:xfrm>
          <a:off x="5632636" y="951457"/>
          <a:ext cx="1640010" cy="870199"/>
        </a:xfrm>
        <a:prstGeom prst="roundRect">
          <a:avLst>
            <a:gd name="adj" fmla="val 4106"/>
          </a:avLst>
        </a:prstGeom>
        <a:gradFill>
          <a:gsLst>
            <a:gs pos="0">
              <a:schemeClr val="bg1"/>
            </a:gs>
            <a:gs pos="95105">
              <a:schemeClr val="accent1">
                <a:lumMod val="60000"/>
                <a:lumOff val="40000"/>
              </a:schemeClr>
            </a:gs>
            <a:gs pos="57000">
              <a:srgbClr val="93C6F5"/>
            </a:gs>
            <a:gs pos="98000">
              <a:srgbClr val="93C6F5"/>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14</xdr:col>
      <xdr:colOff>478693</xdr:colOff>
      <xdr:row>5</xdr:row>
      <xdr:rowOff>68339</xdr:rowOff>
    </xdr:from>
    <xdr:to>
      <xdr:col>17</xdr:col>
      <xdr:colOff>312412</xdr:colOff>
      <xdr:row>10</xdr:row>
      <xdr:rowOff>58615</xdr:rowOff>
    </xdr:to>
    <xdr:sp macro="" textlink="">
      <xdr:nvSpPr>
        <xdr:cNvPr id="11" name="Rectangle: Rounded Corners 10">
          <a:extLst>
            <a:ext uri="{FF2B5EF4-FFF2-40B4-BE49-F238E27FC236}">
              <a16:creationId xmlns:a16="http://schemas.microsoft.com/office/drawing/2014/main" id="{F57340F7-297B-481C-8183-CB4837AB7931}"/>
            </a:ext>
          </a:extLst>
        </xdr:cNvPr>
        <xdr:cNvSpPr/>
      </xdr:nvSpPr>
      <xdr:spPr>
        <a:xfrm>
          <a:off x="8958385" y="1191801"/>
          <a:ext cx="1650796" cy="1113737"/>
        </a:xfrm>
        <a:prstGeom prst="roundRect">
          <a:avLst>
            <a:gd name="adj" fmla="val 4106"/>
          </a:avLst>
        </a:prstGeom>
        <a:gradFill>
          <a:gsLst>
            <a:gs pos="0">
              <a:schemeClr val="bg1"/>
            </a:gs>
            <a:gs pos="95105">
              <a:schemeClr val="accent1">
                <a:lumMod val="60000"/>
                <a:lumOff val="40000"/>
              </a:schemeClr>
            </a:gs>
            <a:gs pos="57000">
              <a:srgbClr val="93C6F5"/>
            </a:gs>
            <a:gs pos="98000">
              <a:srgbClr val="93C6F5"/>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17</xdr:col>
      <xdr:colOff>362470</xdr:colOff>
      <xdr:row>5</xdr:row>
      <xdr:rowOff>78153</xdr:rowOff>
    </xdr:from>
    <xdr:to>
      <xdr:col>24</xdr:col>
      <xdr:colOff>523874</xdr:colOff>
      <xdr:row>20</xdr:row>
      <xdr:rowOff>84667</xdr:rowOff>
    </xdr:to>
    <xdr:sp macro="" textlink="">
      <xdr:nvSpPr>
        <xdr:cNvPr id="12" name="Rectangle: Rounded Corners 11">
          <a:extLst>
            <a:ext uri="{FF2B5EF4-FFF2-40B4-BE49-F238E27FC236}">
              <a16:creationId xmlns:a16="http://schemas.microsoft.com/office/drawing/2014/main" id="{A43E0E33-DBBD-41E1-9E71-300D33B08ED8}"/>
            </a:ext>
          </a:extLst>
        </xdr:cNvPr>
        <xdr:cNvSpPr/>
      </xdr:nvSpPr>
      <xdr:spPr>
        <a:xfrm>
          <a:off x="10659239" y="1201615"/>
          <a:ext cx="4401250" cy="3376898"/>
        </a:xfrm>
        <a:prstGeom prst="roundRect">
          <a:avLst>
            <a:gd name="adj" fmla="val 66"/>
          </a:avLst>
        </a:prstGeom>
        <a:gradFill>
          <a:gsLst>
            <a:gs pos="0">
              <a:schemeClr val="bg1"/>
            </a:gs>
            <a:gs pos="95105">
              <a:schemeClr val="accent1">
                <a:lumMod val="60000"/>
                <a:lumOff val="40000"/>
              </a:schemeClr>
            </a:gs>
            <a:gs pos="57000">
              <a:srgbClr val="93C6F5"/>
            </a:gs>
            <a:gs pos="98000">
              <a:srgbClr val="93C6F5"/>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13</xdr:col>
      <xdr:colOff>11906</xdr:colOff>
      <xdr:row>10</xdr:row>
      <xdr:rowOff>111345</xdr:rowOff>
    </xdr:from>
    <xdr:to>
      <xdr:col>17</xdr:col>
      <xdr:colOff>332154</xdr:colOff>
      <xdr:row>20</xdr:row>
      <xdr:rowOff>84666</xdr:rowOff>
    </xdr:to>
    <xdr:sp macro="" textlink="">
      <xdr:nvSpPr>
        <xdr:cNvPr id="13" name="Rectangle: Rounded Corners 12">
          <a:extLst>
            <a:ext uri="{FF2B5EF4-FFF2-40B4-BE49-F238E27FC236}">
              <a16:creationId xmlns:a16="http://schemas.microsoft.com/office/drawing/2014/main" id="{9FBF4099-D527-4387-A3BF-679CE86BE017}"/>
            </a:ext>
          </a:extLst>
        </xdr:cNvPr>
        <xdr:cNvSpPr/>
      </xdr:nvSpPr>
      <xdr:spPr>
        <a:xfrm>
          <a:off x="7885906" y="2358268"/>
          <a:ext cx="2743017" cy="2220244"/>
        </a:xfrm>
        <a:prstGeom prst="roundRect">
          <a:avLst>
            <a:gd name="adj" fmla="val 146"/>
          </a:avLst>
        </a:prstGeom>
        <a:gradFill>
          <a:gsLst>
            <a:gs pos="0">
              <a:schemeClr val="bg1"/>
            </a:gs>
            <a:gs pos="95105">
              <a:schemeClr val="accent1">
                <a:lumMod val="60000"/>
                <a:lumOff val="40000"/>
              </a:schemeClr>
            </a:gs>
            <a:gs pos="57000">
              <a:srgbClr val="93C6F5"/>
            </a:gs>
            <a:gs pos="98000">
              <a:srgbClr val="93C6F5"/>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3</xdr:col>
      <xdr:colOff>416718</xdr:colOff>
      <xdr:row>10</xdr:row>
      <xdr:rowOff>89331</xdr:rowOff>
    </xdr:from>
    <xdr:to>
      <xdr:col>12</xdr:col>
      <xdr:colOff>595922</xdr:colOff>
      <xdr:row>24</xdr:row>
      <xdr:rowOff>105833</xdr:rowOff>
    </xdr:to>
    <xdr:sp macro="" textlink="">
      <xdr:nvSpPr>
        <xdr:cNvPr id="14" name="Rectangle: Rounded Corners 13">
          <a:extLst>
            <a:ext uri="{FF2B5EF4-FFF2-40B4-BE49-F238E27FC236}">
              <a16:creationId xmlns:a16="http://schemas.microsoft.com/office/drawing/2014/main" id="{1C1856C2-188D-40E2-BB61-D8F96F46A1EF}"/>
            </a:ext>
          </a:extLst>
        </xdr:cNvPr>
        <xdr:cNvSpPr/>
      </xdr:nvSpPr>
      <xdr:spPr>
        <a:xfrm>
          <a:off x="2233795" y="2336254"/>
          <a:ext cx="5630435" cy="3162194"/>
        </a:xfrm>
        <a:prstGeom prst="roundRect">
          <a:avLst>
            <a:gd name="adj" fmla="val 749"/>
          </a:avLst>
        </a:prstGeom>
        <a:gradFill>
          <a:gsLst>
            <a:gs pos="0">
              <a:schemeClr val="bg1"/>
            </a:gs>
            <a:gs pos="95105">
              <a:schemeClr val="accent1">
                <a:lumMod val="60000"/>
                <a:lumOff val="40000"/>
              </a:schemeClr>
            </a:gs>
            <a:gs pos="57000">
              <a:srgbClr val="93C6F5"/>
            </a:gs>
            <a:gs pos="98000">
              <a:srgbClr val="93C6F5"/>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13</xdr:col>
      <xdr:colOff>42332</xdr:colOff>
      <xdr:row>20</xdr:row>
      <xdr:rowOff>142874</xdr:rowOff>
    </xdr:from>
    <xdr:to>
      <xdr:col>24</xdr:col>
      <xdr:colOff>547076</xdr:colOff>
      <xdr:row>39</xdr:row>
      <xdr:rowOff>97691</xdr:rowOff>
    </xdr:to>
    <xdr:sp macro="" textlink="">
      <xdr:nvSpPr>
        <xdr:cNvPr id="15" name="Rectangle: Rounded Corners 14">
          <a:extLst>
            <a:ext uri="{FF2B5EF4-FFF2-40B4-BE49-F238E27FC236}">
              <a16:creationId xmlns:a16="http://schemas.microsoft.com/office/drawing/2014/main" id="{95F4D53A-5CB1-46F4-942C-28A49B10C765}"/>
            </a:ext>
          </a:extLst>
        </xdr:cNvPr>
        <xdr:cNvSpPr/>
      </xdr:nvSpPr>
      <xdr:spPr>
        <a:xfrm>
          <a:off x="7916332" y="4636720"/>
          <a:ext cx="7167359" cy="4223971"/>
        </a:xfrm>
        <a:prstGeom prst="roundRect">
          <a:avLst>
            <a:gd name="adj" fmla="val 0"/>
          </a:avLst>
        </a:prstGeom>
        <a:gradFill>
          <a:gsLst>
            <a:gs pos="0">
              <a:schemeClr val="bg1"/>
            </a:gs>
            <a:gs pos="95105">
              <a:schemeClr val="accent1">
                <a:lumMod val="60000"/>
                <a:lumOff val="40000"/>
              </a:schemeClr>
            </a:gs>
            <a:gs pos="57000">
              <a:srgbClr val="93C6F5"/>
            </a:gs>
            <a:gs pos="98000">
              <a:srgbClr val="93C6F5"/>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3</xdr:col>
      <xdr:colOff>420077</xdr:colOff>
      <xdr:row>24</xdr:row>
      <xdr:rowOff>146539</xdr:rowOff>
    </xdr:from>
    <xdr:to>
      <xdr:col>12</xdr:col>
      <xdr:colOff>596900</xdr:colOff>
      <xdr:row>39</xdr:row>
      <xdr:rowOff>107461</xdr:rowOff>
    </xdr:to>
    <xdr:sp macro="" textlink="">
      <xdr:nvSpPr>
        <xdr:cNvPr id="18" name="Rectangle: Rounded Corners 17">
          <a:extLst>
            <a:ext uri="{FF2B5EF4-FFF2-40B4-BE49-F238E27FC236}">
              <a16:creationId xmlns:a16="http://schemas.microsoft.com/office/drawing/2014/main" id="{47747D3D-45A8-46DF-967C-2523CE4CD94E}"/>
            </a:ext>
          </a:extLst>
        </xdr:cNvPr>
        <xdr:cNvSpPr/>
      </xdr:nvSpPr>
      <xdr:spPr>
        <a:xfrm>
          <a:off x="2237154" y="5539154"/>
          <a:ext cx="5628054" cy="3331307"/>
        </a:xfrm>
        <a:prstGeom prst="roundRect">
          <a:avLst>
            <a:gd name="adj" fmla="val 0"/>
          </a:avLst>
        </a:prstGeom>
        <a:gradFill>
          <a:gsLst>
            <a:gs pos="0">
              <a:schemeClr val="bg1"/>
            </a:gs>
            <a:gs pos="95105">
              <a:schemeClr val="accent1">
                <a:lumMod val="60000"/>
                <a:lumOff val="40000"/>
              </a:schemeClr>
            </a:gs>
            <a:gs pos="57000">
              <a:srgbClr val="93C6F5"/>
            </a:gs>
            <a:gs pos="98000">
              <a:srgbClr val="93C6F5"/>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5</xdr:col>
      <xdr:colOff>47625</xdr:colOff>
      <xdr:row>1</xdr:row>
      <xdr:rowOff>11906</xdr:rowOff>
    </xdr:from>
    <xdr:to>
      <xdr:col>20</xdr:col>
      <xdr:colOff>357188</xdr:colOff>
      <xdr:row>4</xdr:row>
      <xdr:rowOff>119063</xdr:rowOff>
    </xdr:to>
    <xdr:sp macro="" textlink="">
      <xdr:nvSpPr>
        <xdr:cNvPr id="19" name="TextBox 18">
          <a:extLst>
            <a:ext uri="{FF2B5EF4-FFF2-40B4-BE49-F238E27FC236}">
              <a16:creationId xmlns:a16="http://schemas.microsoft.com/office/drawing/2014/main" id="{C10D9879-12EE-5B45-861C-1DFFCE0579C5}"/>
            </a:ext>
          </a:extLst>
        </xdr:cNvPr>
        <xdr:cNvSpPr txBox="1"/>
      </xdr:nvSpPr>
      <xdr:spPr>
        <a:xfrm>
          <a:off x="3083719" y="190500"/>
          <a:ext cx="9417844" cy="642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rPr>
            <a:t>SALES</a:t>
          </a:r>
          <a:r>
            <a:rPr lang="en-IN" sz="4000" b="1" baseline="0">
              <a:solidFill>
                <a:schemeClr val="bg1"/>
              </a:solidFill>
            </a:rPr>
            <a:t> &amp; PROFIT DASHBOARD</a:t>
          </a:r>
          <a:endParaRPr lang="en-IN" sz="4000" b="1">
            <a:solidFill>
              <a:schemeClr val="bg1"/>
            </a:solidFill>
          </a:endParaRPr>
        </a:p>
      </xdr:txBody>
    </xdr:sp>
    <xdr:clientData/>
  </xdr:twoCellAnchor>
  <xdr:twoCellAnchor editAs="oneCell">
    <xdr:from>
      <xdr:col>3</xdr:col>
      <xdr:colOff>428624</xdr:colOff>
      <xdr:row>0</xdr:row>
      <xdr:rowOff>119062</xdr:rowOff>
    </xdr:from>
    <xdr:to>
      <xdr:col>5</xdr:col>
      <xdr:colOff>60186</xdr:colOff>
      <xdr:row>4</xdr:row>
      <xdr:rowOff>10754</xdr:rowOff>
    </xdr:to>
    <xdr:pic>
      <xdr:nvPicPr>
        <xdr:cNvPr id="21" name="Graphic 20" descr="Bar graph with upward trend with solid fill">
          <a:extLst>
            <a:ext uri="{FF2B5EF4-FFF2-40B4-BE49-F238E27FC236}">
              <a16:creationId xmlns:a16="http://schemas.microsoft.com/office/drawing/2014/main" id="{77508601-01C7-01D7-D056-547620D71D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0280" y="119062"/>
          <a:ext cx="846000" cy="804981"/>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226219</xdr:colOff>
      <xdr:row>1</xdr:row>
      <xdr:rowOff>83344</xdr:rowOff>
    </xdr:from>
    <xdr:to>
      <xdr:col>1</xdr:col>
      <xdr:colOff>119062</xdr:colOff>
      <xdr:row>3</xdr:row>
      <xdr:rowOff>188436</xdr:rowOff>
    </xdr:to>
    <xdr:pic>
      <xdr:nvPicPr>
        <xdr:cNvPr id="23" name="Graphic 22" descr="Shopping cart with solid fill">
          <a:extLst>
            <a:ext uri="{FF2B5EF4-FFF2-40B4-BE49-F238E27FC236}">
              <a16:creationId xmlns:a16="http://schemas.microsoft.com/office/drawing/2014/main" id="{5344FEB9-998E-7B1C-776E-33A3DC9C7E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6219" y="261938"/>
          <a:ext cx="500062" cy="559593"/>
        </a:xfrm>
        <a:prstGeom prst="rect">
          <a:avLst/>
        </a:prstGeom>
      </xdr:spPr>
    </xdr:pic>
    <xdr:clientData/>
  </xdr:twoCellAnchor>
  <xdr:twoCellAnchor>
    <xdr:from>
      <xdr:col>1</xdr:col>
      <xdr:colOff>107157</xdr:colOff>
      <xdr:row>1</xdr:row>
      <xdr:rowOff>35718</xdr:rowOff>
    </xdr:from>
    <xdr:to>
      <xdr:col>3</xdr:col>
      <xdr:colOff>368300</xdr:colOff>
      <xdr:row>4</xdr:row>
      <xdr:rowOff>130968</xdr:rowOff>
    </xdr:to>
    <xdr:sp macro="" textlink="">
      <xdr:nvSpPr>
        <xdr:cNvPr id="24" name="TextBox 23">
          <a:extLst>
            <a:ext uri="{FF2B5EF4-FFF2-40B4-BE49-F238E27FC236}">
              <a16:creationId xmlns:a16="http://schemas.microsoft.com/office/drawing/2014/main" id="{E60F1B47-6B45-4848-A2A9-BA2BC249D319}"/>
            </a:ext>
          </a:extLst>
        </xdr:cNvPr>
        <xdr:cNvSpPr txBox="1"/>
      </xdr:nvSpPr>
      <xdr:spPr>
        <a:xfrm>
          <a:off x="716757" y="264318"/>
          <a:ext cx="1480343" cy="7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Times New Roman" panose="02020603050405020304" pitchFamily="18" charset="0"/>
              <a:cs typeface="Times New Roman" panose="02020603050405020304" pitchFamily="18" charset="0"/>
            </a:rPr>
            <a:t>WALMART</a:t>
          </a:r>
          <a:endParaRPr lang="en-IN" sz="1600" b="1">
            <a:solidFill>
              <a:schemeClr val="bg1"/>
            </a:solidFill>
            <a:latin typeface="Times New Roman" panose="02020603050405020304" pitchFamily="18" charset="0"/>
            <a:cs typeface="Times New Roman" panose="02020603050405020304" pitchFamily="18" charset="0"/>
          </a:endParaRPr>
        </a:p>
        <a:p>
          <a:r>
            <a:rPr lang="en-IN" sz="1600" b="1">
              <a:solidFill>
                <a:schemeClr val="bg1"/>
              </a:solidFill>
              <a:latin typeface="Times New Roman" panose="02020603050405020304" pitchFamily="18" charset="0"/>
              <a:cs typeface="Times New Roman" panose="02020603050405020304" pitchFamily="18" charset="0"/>
            </a:rPr>
            <a:t>ANALYSIS</a:t>
          </a:r>
        </a:p>
      </xdr:txBody>
    </xdr:sp>
    <xdr:clientData/>
  </xdr:twoCellAnchor>
  <xdr:twoCellAnchor editAs="oneCell">
    <xdr:from>
      <xdr:col>0</xdr:col>
      <xdr:colOff>95250</xdr:colOff>
      <xdr:row>5</xdr:row>
      <xdr:rowOff>85178</xdr:rowOff>
    </xdr:from>
    <xdr:to>
      <xdr:col>3</xdr:col>
      <xdr:colOff>309563</xdr:colOff>
      <xdr:row>14</xdr:row>
      <xdr:rowOff>91440</xdr:rowOff>
    </xdr:to>
    <mc:AlternateContent xmlns:mc="http://schemas.openxmlformats.org/markup-compatibility/2006">
      <mc:Choice xmlns:a14="http://schemas.microsoft.com/office/drawing/2010/main" Requires="a14">
        <xdr:graphicFrame macro="">
          <xdr:nvGraphicFramePr>
            <xdr:cNvPr id="25" name="Product line 1">
              <a:extLst>
                <a:ext uri="{FF2B5EF4-FFF2-40B4-BE49-F238E27FC236}">
                  <a16:creationId xmlns:a16="http://schemas.microsoft.com/office/drawing/2014/main" id="{E1330D23-3985-4DF2-8A4F-F0658416C7A3}"/>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95250" y="1208640"/>
              <a:ext cx="2031390" cy="2028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83343</xdr:colOff>
      <xdr:row>17</xdr:row>
      <xdr:rowOff>49459</xdr:rowOff>
    </xdr:from>
    <xdr:to>
      <xdr:col>3</xdr:col>
      <xdr:colOff>297656</xdr:colOff>
      <xdr:row>22</xdr:row>
      <xdr:rowOff>128852</xdr:rowOff>
    </xdr:to>
    <mc:AlternateContent xmlns:mc="http://schemas.openxmlformats.org/markup-compatibility/2006" xmlns:a14="http://schemas.microsoft.com/office/drawing/2010/main">
      <mc:Choice Requires="a14">
        <xdr:graphicFrame macro="">
          <xdr:nvGraphicFramePr>
            <xdr:cNvPr id="27" name="Months (Date) 1">
              <a:extLst>
                <a:ext uri="{FF2B5EF4-FFF2-40B4-BE49-F238E27FC236}">
                  <a16:creationId xmlns:a16="http://schemas.microsoft.com/office/drawing/2014/main" id="{AAB9DDEF-62B0-4510-9FF0-A600BB90BCFE}"/>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83343" y="3185691"/>
              <a:ext cx="2043113" cy="1259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83344</xdr:colOff>
      <xdr:row>24</xdr:row>
      <xdr:rowOff>37553</xdr:rowOff>
    </xdr:from>
    <xdr:to>
      <xdr:col>3</xdr:col>
      <xdr:colOff>273844</xdr:colOff>
      <xdr:row>28</xdr:row>
      <xdr:rowOff>198278</xdr:rowOff>
    </xdr:to>
    <mc:AlternateContent xmlns:mc="http://schemas.openxmlformats.org/markup-compatibility/2006" xmlns:a14="http://schemas.microsoft.com/office/drawing/2010/main">
      <mc:Choice Requires="a14">
        <xdr:graphicFrame macro="">
          <xdr:nvGraphicFramePr>
            <xdr:cNvPr id="28" name="Gender 1">
              <a:extLst>
                <a:ext uri="{FF2B5EF4-FFF2-40B4-BE49-F238E27FC236}">
                  <a16:creationId xmlns:a16="http://schemas.microsoft.com/office/drawing/2014/main" id="{4C50BF2A-420C-42AD-95CF-480BA92B011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3344" y="4465174"/>
              <a:ext cx="2019300" cy="1105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119063</xdr:colOff>
      <xdr:row>30</xdr:row>
      <xdr:rowOff>85177</xdr:rowOff>
    </xdr:from>
    <xdr:to>
      <xdr:col>3</xdr:col>
      <xdr:colOff>273844</xdr:colOff>
      <xdr:row>36</xdr:row>
      <xdr:rowOff>203835</xdr:rowOff>
    </xdr:to>
    <mc:AlternateContent xmlns:mc="http://schemas.openxmlformats.org/markup-compatibility/2006" xmlns:a14="http://schemas.microsoft.com/office/drawing/2010/main">
      <mc:Choice Requires="a14">
        <xdr:graphicFrame macro="">
          <xdr:nvGraphicFramePr>
            <xdr:cNvPr id="29" name="City 1">
              <a:extLst>
                <a:ext uri="{FF2B5EF4-FFF2-40B4-BE49-F238E27FC236}">
                  <a16:creationId xmlns:a16="http://schemas.microsoft.com/office/drawing/2014/main" id="{05D328DF-F185-4E05-8528-AE6ED3C5884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9063" y="5619703"/>
              <a:ext cx="1983581" cy="1533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50801</xdr:colOff>
      <xdr:row>10</xdr:row>
      <xdr:rowOff>121920</xdr:rowOff>
    </xdr:from>
    <xdr:to>
      <xdr:col>17</xdr:col>
      <xdr:colOff>264161</xdr:colOff>
      <xdr:row>20</xdr:row>
      <xdr:rowOff>60960</xdr:rowOff>
    </xdr:to>
    <xdr:graphicFrame macro="">
      <xdr:nvGraphicFramePr>
        <xdr:cNvPr id="30" name="Chart 29">
          <a:extLst>
            <a:ext uri="{FF2B5EF4-FFF2-40B4-BE49-F238E27FC236}">
              <a16:creationId xmlns:a16="http://schemas.microsoft.com/office/drawing/2014/main" id="{992298D0-E070-4743-A041-B5BDD235A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42332</xdr:colOff>
      <xdr:row>20</xdr:row>
      <xdr:rowOff>142874</xdr:rowOff>
    </xdr:from>
    <xdr:to>
      <xdr:col>24</xdr:col>
      <xdr:colOff>524655</xdr:colOff>
      <xdr:row>39</xdr:row>
      <xdr:rowOff>91440</xdr:rowOff>
    </xdr:to>
    <xdr:graphicFrame macro="">
      <xdr:nvGraphicFramePr>
        <xdr:cNvPr id="31" name="Chart 30">
          <a:extLst>
            <a:ext uri="{FF2B5EF4-FFF2-40B4-BE49-F238E27FC236}">
              <a16:creationId xmlns:a16="http://schemas.microsoft.com/office/drawing/2014/main" id="{1FC244EE-C033-4C41-8233-C3B6555B1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478465</xdr:colOff>
      <xdr:row>25</xdr:row>
      <xdr:rowOff>73713</xdr:rowOff>
    </xdr:from>
    <xdr:to>
      <xdr:col>13</xdr:col>
      <xdr:colOff>14420</xdr:colOff>
      <xdr:row>39</xdr:row>
      <xdr:rowOff>151252</xdr:rowOff>
    </xdr:to>
    <xdr:graphicFrame macro="">
      <xdr:nvGraphicFramePr>
        <xdr:cNvPr id="32" name="Chart 31">
          <a:extLst>
            <a:ext uri="{FF2B5EF4-FFF2-40B4-BE49-F238E27FC236}">
              <a16:creationId xmlns:a16="http://schemas.microsoft.com/office/drawing/2014/main" id="{53C04520-7D8C-4E9A-BB72-50DD88B4D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426489</xdr:colOff>
      <xdr:row>10</xdr:row>
      <xdr:rowOff>79562</xdr:rowOff>
    </xdr:from>
    <xdr:to>
      <xdr:col>12</xdr:col>
      <xdr:colOff>390770</xdr:colOff>
      <xdr:row>24</xdr:row>
      <xdr:rowOff>25950</xdr:rowOff>
    </xdr:to>
    <xdr:graphicFrame macro="">
      <xdr:nvGraphicFramePr>
        <xdr:cNvPr id="33" name="Chart 32">
          <a:extLst>
            <a:ext uri="{FF2B5EF4-FFF2-40B4-BE49-F238E27FC236}">
              <a16:creationId xmlns:a16="http://schemas.microsoft.com/office/drawing/2014/main" id="{616947EE-00A9-4A1E-A189-BB4BD845E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345281</xdr:colOff>
      <xdr:row>5</xdr:row>
      <xdr:rowOff>48846</xdr:rowOff>
    </xdr:from>
    <xdr:to>
      <xdr:col>24</xdr:col>
      <xdr:colOff>523875</xdr:colOff>
      <xdr:row>20</xdr:row>
      <xdr:rowOff>71438</xdr:rowOff>
    </xdr:to>
    <xdr:graphicFrame macro="">
      <xdr:nvGraphicFramePr>
        <xdr:cNvPr id="34" name="Chart 33">
          <a:extLst>
            <a:ext uri="{FF2B5EF4-FFF2-40B4-BE49-F238E27FC236}">
              <a16:creationId xmlns:a16="http://schemas.microsoft.com/office/drawing/2014/main" id="{F4A00727-C574-4982-9453-C78C3953C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11906</xdr:colOff>
      <xdr:row>5</xdr:row>
      <xdr:rowOff>35718</xdr:rowOff>
    </xdr:from>
    <xdr:to>
      <xdr:col>6</xdr:col>
      <xdr:colOff>358163</xdr:colOff>
      <xdr:row>6</xdr:row>
      <xdr:rowOff>166688</xdr:rowOff>
    </xdr:to>
    <xdr:sp macro="" textlink="">
      <xdr:nvSpPr>
        <xdr:cNvPr id="35" name="TextBox 34">
          <a:extLst>
            <a:ext uri="{FF2B5EF4-FFF2-40B4-BE49-F238E27FC236}">
              <a16:creationId xmlns:a16="http://schemas.microsoft.com/office/drawing/2014/main" id="{C0A804D1-D750-47E5-C054-DDA5351F5390}"/>
            </a:ext>
          </a:extLst>
        </xdr:cNvPr>
        <xdr:cNvSpPr txBox="1"/>
      </xdr:nvSpPr>
      <xdr:spPr>
        <a:xfrm>
          <a:off x="2440781" y="928687"/>
          <a:ext cx="1560695" cy="309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Sales</a:t>
          </a:r>
        </a:p>
      </xdr:txBody>
    </xdr:sp>
    <xdr:clientData/>
  </xdr:twoCellAnchor>
  <xdr:twoCellAnchor>
    <xdr:from>
      <xdr:col>18</xdr:col>
      <xdr:colOff>0</xdr:colOff>
      <xdr:row>43</xdr:row>
      <xdr:rowOff>0</xdr:rowOff>
    </xdr:from>
    <xdr:to>
      <xdr:col>18</xdr:col>
      <xdr:colOff>457200</xdr:colOff>
      <xdr:row>44</xdr:row>
      <xdr:rowOff>137160</xdr:rowOff>
    </xdr:to>
    <xdr:sp macro="" textlink="">
      <xdr:nvSpPr>
        <xdr:cNvPr id="4097" name="Text Box 1">
          <a:extLst>
            <a:ext uri="{FF2B5EF4-FFF2-40B4-BE49-F238E27FC236}">
              <a16:creationId xmlns:a16="http://schemas.microsoft.com/office/drawing/2014/main" id="{49D93C7E-E8C6-6896-5D69-F6E73F5B764C}"/>
            </a:ext>
          </a:extLst>
        </xdr:cNvPr>
        <xdr:cNvSpPr txBox="1">
          <a:spLocks noChangeArrowheads="1"/>
        </xdr:cNvSpPr>
      </xdr:nvSpPr>
      <xdr:spPr bwMode="auto">
        <a:xfrm>
          <a:off x="10972800" y="7863840"/>
          <a:ext cx="457200" cy="320040"/>
        </a:xfrm>
        <a:prstGeom prst="rect">
          <a:avLst/>
        </a:prstGeom>
        <a:noFill/>
        <a:ln w="9525">
          <a:noFill/>
          <a:miter lim="800000"/>
          <a:headEnd/>
          <a:tailEnd/>
        </a:ln>
      </xdr:spPr>
      <xdr:txBody>
        <a:bodyPr vertOverflow="clip" wrap="square" lIns="27432" tIns="18288"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6</xdr:col>
      <xdr:colOff>226219</xdr:colOff>
      <xdr:row>5</xdr:row>
      <xdr:rowOff>43016</xdr:rowOff>
    </xdr:from>
    <xdr:to>
      <xdr:col>9</xdr:col>
      <xdr:colOff>297657</xdr:colOff>
      <xdr:row>6</xdr:row>
      <xdr:rowOff>142875</xdr:rowOff>
    </xdr:to>
    <xdr:sp macro="" textlink="">
      <xdr:nvSpPr>
        <xdr:cNvPr id="36" name="TextBox 35">
          <a:extLst>
            <a:ext uri="{FF2B5EF4-FFF2-40B4-BE49-F238E27FC236}">
              <a16:creationId xmlns:a16="http://schemas.microsoft.com/office/drawing/2014/main" id="{EC1E5922-079D-9868-15D8-44B23E3D05EB}"/>
            </a:ext>
          </a:extLst>
        </xdr:cNvPr>
        <xdr:cNvSpPr txBox="1"/>
      </xdr:nvSpPr>
      <xdr:spPr>
        <a:xfrm>
          <a:off x="3869532" y="935985"/>
          <a:ext cx="1893094" cy="278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Total </a:t>
          </a:r>
          <a:r>
            <a:rPr lang="en-IN" sz="1600" b="1" i="0" u="none" strike="noStrike">
              <a:solidFill>
                <a:schemeClr val="dk1"/>
              </a:solidFill>
              <a:effectLst/>
              <a:latin typeface="+mn-lt"/>
              <a:ea typeface="+mn-ea"/>
              <a:cs typeface="+mn-cs"/>
            </a:rPr>
            <a:t>Quantity</a:t>
          </a:r>
          <a:r>
            <a:rPr lang="en-IN" sz="1400" b="1" i="0" u="none" strike="noStrike">
              <a:solidFill>
                <a:schemeClr val="dk1"/>
              </a:solidFill>
              <a:effectLst/>
              <a:latin typeface="+mn-lt"/>
              <a:ea typeface="+mn-ea"/>
              <a:cs typeface="+mn-cs"/>
            </a:rPr>
            <a:t> sold</a:t>
          </a:r>
          <a:r>
            <a:rPr lang="en-IN" sz="1400" b="1">
              <a:effectLst/>
            </a:rPr>
            <a:t> </a:t>
          </a:r>
          <a:endParaRPr lang="en-IN" sz="1400" b="1"/>
        </a:p>
      </xdr:txBody>
    </xdr:sp>
    <xdr:clientData/>
  </xdr:twoCellAnchor>
  <xdr:twoCellAnchor>
    <xdr:from>
      <xdr:col>9</xdr:col>
      <xdr:colOff>190500</xdr:colOff>
      <xdr:row>5</xdr:row>
      <xdr:rowOff>47625</xdr:rowOff>
    </xdr:from>
    <xdr:to>
      <xdr:col>12</xdr:col>
      <xdr:colOff>285750</xdr:colOff>
      <xdr:row>7</xdr:row>
      <xdr:rowOff>107157</xdr:rowOff>
    </xdr:to>
    <xdr:sp macro="" textlink="">
      <xdr:nvSpPr>
        <xdr:cNvPr id="37" name="TextBox 36">
          <a:extLst>
            <a:ext uri="{FF2B5EF4-FFF2-40B4-BE49-F238E27FC236}">
              <a16:creationId xmlns:a16="http://schemas.microsoft.com/office/drawing/2014/main" id="{61E0EE8B-B075-9E65-158A-51A6B46B6CFF}"/>
            </a:ext>
          </a:extLst>
        </xdr:cNvPr>
        <xdr:cNvSpPr txBox="1"/>
      </xdr:nvSpPr>
      <xdr:spPr>
        <a:xfrm>
          <a:off x="5655469" y="940594"/>
          <a:ext cx="1916906"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Customers</a:t>
          </a:r>
        </a:p>
      </xdr:txBody>
    </xdr:sp>
    <xdr:clientData/>
  </xdr:twoCellAnchor>
  <xdr:twoCellAnchor>
    <xdr:from>
      <xdr:col>12</xdr:col>
      <xdr:colOff>11906</xdr:colOff>
      <xdr:row>5</xdr:row>
      <xdr:rowOff>47625</xdr:rowOff>
    </xdr:from>
    <xdr:to>
      <xdr:col>14</xdr:col>
      <xdr:colOff>488156</xdr:colOff>
      <xdr:row>8</xdr:row>
      <xdr:rowOff>35719</xdr:rowOff>
    </xdr:to>
    <xdr:sp macro="" textlink="">
      <xdr:nvSpPr>
        <xdr:cNvPr id="38" name="TextBox 37">
          <a:extLst>
            <a:ext uri="{FF2B5EF4-FFF2-40B4-BE49-F238E27FC236}">
              <a16:creationId xmlns:a16="http://schemas.microsoft.com/office/drawing/2014/main" id="{27CCFCFA-1DC0-9C00-7FCD-4F4A0F48B7A8}"/>
            </a:ext>
          </a:extLst>
        </xdr:cNvPr>
        <xdr:cNvSpPr txBox="1"/>
      </xdr:nvSpPr>
      <xdr:spPr>
        <a:xfrm>
          <a:off x="7298531" y="940594"/>
          <a:ext cx="1690688"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Average Rating</a:t>
          </a:r>
          <a:r>
            <a:rPr lang="en-IN" sz="1600" b="1">
              <a:effectLst/>
            </a:rPr>
            <a:t> </a:t>
          </a:r>
          <a:endParaRPr lang="en-IN" sz="1100" b="1"/>
        </a:p>
      </xdr:txBody>
    </xdr:sp>
    <xdr:clientData/>
  </xdr:twoCellAnchor>
  <xdr:twoCellAnchor>
    <xdr:from>
      <xdr:col>14</xdr:col>
      <xdr:colOff>519546</xdr:colOff>
      <xdr:row>5</xdr:row>
      <xdr:rowOff>69274</xdr:rowOff>
    </xdr:from>
    <xdr:to>
      <xdr:col>17</xdr:col>
      <xdr:colOff>168348</xdr:colOff>
      <xdr:row>7</xdr:row>
      <xdr:rowOff>35444</xdr:rowOff>
    </xdr:to>
    <xdr:sp macro="" textlink="">
      <xdr:nvSpPr>
        <xdr:cNvPr id="39" name="TextBox 38">
          <a:extLst>
            <a:ext uri="{FF2B5EF4-FFF2-40B4-BE49-F238E27FC236}">
              <a16:creationId xmlns:a16="http://schemas.microsoft.com/office/drawing/2014/main" id="{2EA4C6AA-EBCC-809F-AA1D-A7A044981DC5}"/>
            </a:ext>
          </a:extLst>
        </xdr:cNvPr>
        <xdr:cNvSpPr txBox="1"/>
      </xdr:nvSpPr>
      <xdr:spPr>
        <a:xfrm>
          <a:off x="9005455" y="1021774"/>
          <a:ext cx="1467211" cy="347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Total Profit </a:t>
          </a:r>
          <a:endParaRPr lang="en-IN" sz="1100"/>
        </a:p>
      </xdr:txBody>
    </xdr:sp>
    <xdr:clientData/>
  </xdr:twoCellAnchor>
  <xdr:twoCellAnchor>
    <xdr:from>
      <xdr:col>4</xdr:col>
      <xdr:colOff>264242</xdr:colOff>
      <xdr:row>7</xdr:row>
      <xdr:rowOff>29308</xdr:rowOff>
    </xdr:from>
    <xdr:to>
      <xdr:col>6</xdr:col>
      <xdr:colOff>218607</xdr:colOff>
      <xdr:row>9</xdr:row>
      <xdr:rowOff>19538</xdr:rowOff>
    </xdr:to>
    <xdr:sp macro="" textlink="'Walmart Sales Data'!S2">
      <xdr:nvSpPr>
        <xdr:cNvPr id="40" name="TextBox 39">
          <a:extLst>
            <a:ext uri="{FF2B5EF4-FFF2-40B4-BE49-F238E27FC236}">
              <a16:creationId xmlns:a16="http://schemas.microsoft.com/office/drawing/2014/main" id="{B78E1420-14FD-0DE7-FBEB-8CFBFD6DE706}"/>
            </a:ext>
          </a:extLst>
        </xdr:cNvPr>
        <xdr:cNvSpPr txBox="1"/>
      </xdr:nvSpPr>
      <xdr:spPr>
        <a:xfrm>
          <a:off x="2687011" y="1602154"/>
          <a:ext cx="1165750" cy="43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3,22,966</a:t>
          </a:r>
          <a:endParaRPr lang="en-US" sz="1800" b="1"/>
        </a:p>
      </xdr:txBody>
    </xdr:sp>
    <xdr:clientData/>
  </xdr:twoCellAnchor>
  <xdr:oneCellAnchor>
    <xdr:from>
      <xdr:col>7</xdr:col>
      <xdr:colOff>137409</xdr:colOff>
      <xdr:row>8</xdr:row>
      <xdr:rowOff>174884</xdr:rowOff>
    </xdr:from>
    <xdr:ext cx="1061804" cy="149902"/>
    <xdr:sp macro="" textlink="">
      <xdr:nvSpPr>
        <xdr:cNvPr id="41" name="TextBox 40">
          <a:extLst>
            <a:ext uri="{FF2B5EF4-FFF2-40B4-BE49-F238E27FC236}">
              <a16:creationId xmlns:a16="http://schemas.microsoft.com/office/drawing/2014/main" id="{9B87A7A0-4056-E291-5FF5-DB7420245778}"/>
            </a:ext>
          </a:extLst>
        </xdr:cNvPr>
        <xdr:cNvSpPr txBox="1"/>
      </xdr:nvSpPr>
      <xdr:spPr>
        <a:xfrm flipV="1">
          <a:off x="4422098" y="1673900"/>
          <a:ext cx="1061804" cy="149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editAs="oneCell">
    <xdr:from>
      <xdr:col>6</xdr:col>
      <xdr:colOff>292943</xdr:colOff>
      <xdr:row>6</xdr:row>
      <xdr:rowOff>135154</xdr:rowOff>
    </xdr:from>
    <xdr:to>
      <xdr:col>7</xdr:col>
      <xdr:colOff>224651</xdr:colOff>
      <xdr:row>8</xdr:row>
      <xdr:rowOff>216435</xdr:rowOff>
    </xdr:to>
    <xdr:pic>
      <xdr:nvPicPr>
        <xdr:cNvPr id="43" name="Graphic 42" descr="Coins with solid fill">
          <a:extLst>
            <a:ext uri="{FF2B5EF4-FFF2-40B4-BE49-F238E27FC236}">
              <a16:creationId xmlns:a16="http://schemas.microsoft.com/office/drawing/2014/main" id="{5F2F8D4E-A7A3-830F-FEF8-63AEA9660F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943169" y="1241283"/>
          <a:ext cx="540079" cy="553066"/>
        </a:xfrm>
        <a:prstGeom prst="rect">
          <a:avLst/>
        </a:prstGeom>
      </xdr:spPr>
    </xdr:pic>
    <xdr:clientData/>
  </xdr:twoCellAnchor>
  <xdr:twoCellAnchor>
    <xdr:from>
      <xdr:col>7</xdr:col>
      <xdr:colOff>301112</xdr:colOff>
      <xdr:row>7</xdr:row>
      <xdr:rowOff>12292</xdr:rowOff>
    </xdr:from>
    <xdr:to>
      <xdr:col>8</xdr:col>
      <xdr:colOff>522338</xdr:colOff>
      <xdr:row>8</xdr:row>
      <xdr:rowOff>165921</xdr:rowOff>
    </xdr:to>
    <xdr:sp macro="" textlink="'Walmart Sales Data'!S4">
      <xdr:nvSpPr>
        <xdr:cNvPr id="48" name="TextBox 47">
          <a:extLst>
            <a:ext uri="{FF2B5EF4-FFF2-40B4-BE49-F238E27FC236}">
              <a16:creationId xmlns:a16="http://schemas.microsoft.com/office/drawing/2014/main" id="{3DC13271-D1B1-5C03-0882-04ED10A11135}"/>
            </a:ext>
          </a:extLst>
        </xdr:cNvPr>
        <xdr:cNvSpPr txBox="1"/>
      </xdr:nvSpPr>
      <xdr:spPr>
        <a:xfrm>
          <a:off x="4559709" y="1302776"/>
          <a:ext cx="829597" cy="337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9001B0-B207-4B07-9AC8-C35FD6766009}" type="TxLink">
            <a:rPr lang="en-US" sz="1800" b="1" i="0" u="none" strike="noStrike">
              <a:solidFill>
                <a:srgbClr val="000000"/>
              </a:solidFill>
              <a:latin typeface="Calibri"/>
              <a:ea typeface="Calibri"/>
              <a:cs typeface="Calibri"/>
            </a:rPr>
            <a:pPr/>
            <a:t>5510</a:t>
          </a:fld>
          <a:endParaRPr lang="en-IN" sz="1800" b="1"/>
        </a:p>
      </xdr:txBody>
    </xdr:sp>
    <xdr:clientData/>
  </xdr:twoCellAnchor>
  <xdr:twoCellAnchor editAs="oneCell">
    <xdr:from>
      <xdr:col>9</xdr:col>
      <xdr:colOff>226219</xdr:colOff>
      <xdr:row>6</xdr:row>
      <xdr:rowOff>59530</xdr:rowOff>
    </xdr:from>
    <xdr:to>
      <xdr:col>10</xdr:col>
      <xdr:colOff>238125</xdr:colOff>
      <xdr:row>8</xdr:row>
      <xdr:rowOff>224154</xdr:rowOff>
    </xdr:to>
    <xdr:pic>
      <xdr:nvPicPr>
        <xdr:cNvPr id="52" name="Graphic 51" descr="Users with solid fill">
          <a:extLst>
            <a:ext uri="{FF2B5EF4-FFF2-40B4-BE49-F238E27FC236}">
              <a16:creationId xmlns:a16="http://schemas.microsoft.com/office/drawing/2014/main" id="{3A6B0E85-5C7B-0121-CE4F-EEA10F1574B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91188" y="1131093"/>
          <a:ext cx="619125" cy="619125"/>
        </a:xfrm>
        <a:prstGeom prst="rect">
          <a:avLst/>
        </a:prstGeom>
      </xdr:spPr>
    </xdr:pic>
    <xdr:clientData/>
  </xdr:twoCellAnchor>
  <xdr:twoCellAnchor>
    <xdr:from>
      <xdr:col>10</xdr:col>
      <xdr:colOff>285749</xdr:colOff>
      <xdr:row>7</xdr:row>
      <xdr:rowOff>11907</xdr:rowOff>
    </xdr:from>
    <xdr:to>
      <xdr:col>11</xdr:col>
      <xdr:colOff>511969</xdr:colOff>
      <xdr:row>8</xdr:row>
      <xdr:rowOff>154782</xdr:rowOff>
    </xdr:to>
    <xdr:sp macro="" textlink="'Walmart Sales Data'!S6">
      <xdr:nvSpPr>
        <xdr:cNvPr id="53" name="TextBox 52">
          <a:extLst>
            <a:ext uri="{FF2B5EF4-FFF2-40B4-BE49-F238E27FC236}">
              <a16:creationId xmlns:a16="http://schemas.microsoft.com/office/drawing/2014/main" id="{5B307C04-A9D9-2F64-8A10-95877A25ED0B}"/>
            </a:ext>
          </a:extLst>
        </xdr:cNvPr>
        <xdr:cNvSpPr txBox="1"/>
      </xdr:nvSpPr>
      <xdr:spPr>
        <a:xfrm>
          <a:off x="6357937" y="1262063"/>
          <a:ext cx="833438"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6626C8-B29D-45BC-9804-17207A2AF325}" type="TxLink">
            <a:rPr lang="en-US" sz="1800" b="1" i="0" u="none" strike="noStrike">
              <a:solidFill>
                <a:srgbClr val="000000"/>
              </a:solidFill>
              <a:latin typeface="Calibri"/>
              <a:ea typeface="Calibri"/>
              <a:cs typeface="Calibri"/>
            </a:rPr>
            <a:pPr/>
            <a:t>1001</a:t>
          </a:fld>
          <a:endParaRPr lang="en-IN" sz="1800" b="1"/>
        </a:p>
      </xdr:txBody>
    </xdr:sp>
    <xdr:clientData/>
  </xdr:twoCellAnchor>
  <xdr:twoCellAnchor editAs="oneCell">
    <xdr:from>
      <xdr:col>12</xdr:col>
      <xdr:colOff>47625</xdr:colOff>
      <xdr:row>6</xdr:row>
      <xdr:rowOff>107156</xdr:rowOff>
    </xdr:from>
    <xdr:to>
      <xdr:col>13</xdr:col>
      <xdr:colOff>23812</xdr:colOff>
      <xdr:row>9</xdr:row>
      <xdr:rowOff>2381</xdr:rowOff>
    </xdr:to>
    <xdr:pic>
      <xdr:nvPicPr>
        <xdr:cNvPr id="55" name="Graphic 54" descr="Bar chart with solid fill">
          <a:extLst>
            <a:ext uri="{FF2B5EF4-FFF2-40B4-BE49-F238E27FC236}">
              <a16:creationId xmlns:a16="http://schemas.microsoft.com/office/drawing/2014/main" id="{41733698-EF1D-8895-0372-3C5AB288EE8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334250" y="1178719"/>
          <a:ext cx="583406" cy="583406"/>
        </a:xfrm>
        <a:prstGeom prst="rect">
          <a:avLst/>
        </a:prstGeom>
      </xdr:spPr>
    </xdr:pic>
    <xdr:clientData/>
  </xdr:twoCellAnchor>
  <xdr:twoCellAnchor>
    <xdr:from>
      <xdr:col>13</xdr:col>
      <xdr:colOff>14377</xdr:colOff>
      <xdr:row>7</xdr:row>
      <xdr:rowOff>28754</xdr:rowOff>
    </xdr:from>
    <xdr:to>
      <xdr:col>14</xdr:col>
      <xdr:colOff>345055</xdr:colOff>
      <xdr:row>9</xdr:row>
      <xdr:rowOff>71887</xdr:rowOff>
    </xdr:to>
    <xdr:sp macro="" textlink="'Walmart Sales Data'!S8">
      <xdr:nvSpPr>
        <xdr:cNvPr id="56" name="TextBox 55">
          <a:extLst>
            <a:ext uri="{FF2B5EF4-FFF2-40B4-BE49-F238E27FC236}">
              <a16:creationId xmlns:a16="http://schemas.microsoft.com/office/drawing/2014/main" id="{BC1A0775-3924-F4F7-6A61-1F36BA65C26E}"/>
            </a:ext>
          </a:extLst>
        </xdr:cNvPr>
        <xdr:cNvSpPr txBox="1"/>
      </xdr:nvSpPr>
      <xdr:spPr>
        <a:xfrm>
          <a:off x="7864415" y="1337094"/>
          <a:ext cx="934527" cy="41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24649C-FDBF-4ADC-837A-F081BD9029C4}" type="TxLink">
            <a:rPr lang="en-US" sz="1800" b="1" i="0" u="none" strike="noStrike">
              <a:solidFill>
                <a:srgbClr val="000000"/>
              </a:solidFill>
              <a:latin typeface="Calibri"/>
              <a:ea typeface="Calibri"/>
              <a:cs typeface="Calibri"/>
            </a:rPr>
            <a:pPr/>
            <a:t>6.9727</a:t>
          </a:fld>
          <a:endParaRPr lang="en-IN" sz="1800" b="1"/>
        </a:p>
      </xdr:txBody>
    </xdr:sp>
    <xdr:clientData/>
  </xdr:twoCellAnchor>
  <xdr:twoCellAnchor editAs="oneCell">
    <xdr:from>
      <xdr:col>14</xdr:col>
      <xdr:colOff>519547</xdr:colOff>
      <xdr:row>6</xdr:row>
      <xdr:rowOff>173183</xdr:rowOff>
    </xdr:from>
    <xdr:to>
      <xdr:col>15</xdr:col>
      <xdr:colOff>453945</xdr:colOff>
      <xdr:row>9</xdr:row>
      <xdr:rowOff>3464</xdr:rowOff>
    </xdr:to>
    <xdr:pic>
      <xdr:nvPicPr>
        <xdr:cNvPr id="58" name="Graphic 57" descr="Money with solid fill">
          <a:extLst>
            <a:ext uri="{FF2B5EF4-FFF2-40B4-BE49-F238E27FC236}">
              <a16:creationId xmlns:a16="http://schemas.microsoft.com/office/drawing/2014/main" id="{FD663A5D-24D8-8FB7-02C5-647E268B384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005456" y="1316183"/>
          <a:ext cx="540534" cy="554181"/>
        </a:xfrm>
        <a:prstGeom prst="rect">
          <a:avLst/>
        </a:prstGeom>
      </xdr:spPr>
    </xdr:pic>
    <xdr:clientData/>
  </xdr:twoCellAnchor>
  <xdr:twoCellAnchor>
    <xdr:from>
      <xdr:col>15</xdr:col>
      <xdr:colOff>363682</xdr:colOff>
      <xdr:row>7</xdr:row>
      <xdr:rowOff>17318</xdr:rowOff>
    </xdr:from>
    <xdr:to>
      <xdr:col>17</xdr:col>
      <xdr:colOff>536864</xdr:colOff>
      <xdr:row>9</xdr:row>
      <xdr:rowOff>17318</xdr:rowOff>
    </xdr:to>
    <xdr:sp macro="" textlink="'Walmart Sales Data'!S10">
      <xdr:nvSpPr>
        <xdr:cNvPr id="59" name="TextBox 58">
          <a:extLst>
            <a:ext uri="{FF2B5EF4-FFF2-40B4-BE49-F238E27FC236}">
              <a16:creationId xmlns:a16="http://schemas.microsoft.com/office/drawing/2014/main" id="{B3713ADC-40BA-C863-08FD-EAF70E1DDF1B}"/>
            </a:ext>
          </a:extLst>
        </xdr:cNvPr>
        <xdr:cNvSpPr txBox="1"/>
      </xdr:nvSpPr>
      <xdr:spPr>
        <a:xfrm>
          <a:off x="9455727" y="1350818"/>
          <a:ext cx="138545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15,379</a:t>
          </a:r>
        </a:p>
      </xdr:txBody>
    </xdr:sp>
    <xdr:clientData/>
  </xdr:twoCellAnchor>
  <xdr:twoCellAnchor editAs="oneCell">
    <xdr:from>
      <xdr:col>3</xdr:col>
      <xdr:colOff>589282</xdr:colOff>
      <xdr:row>7</xdr:row>
      <xdr:rowOff>66766</xdr:rowOff>
    </xdr:from>
    <xdr:to>
      <xdr:col>4</xdr:col>
      <xdr:colOff>335820</xdr:colOff>
      <xdr:row>8</xdr:row>
      <xdr:rowOff>193040</xdr:rowOff>
    </xdr:to>
    <xdr:pic>
      <xdr:nvPicPr>
        <xdr:cNvPr id="16" name="Graphic 15" descr="Euro with solid fill">
          <a:extLst>
            <a:ext uri="{FF2B5EF4-FFF2-40B4-BE49-F238E27FC236}">
              <a16:creationId xmlns:a16="http://schemas.microsoft.com/office/drawing/2014/main" id="{52D1442A-25F2-B9C8-7137-546E27DE8EE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418082" y="1346926"/>
          <a:ext cx="356138" cy="359954"/>
        </a:xfrm>
        <a:prstGeom prst="rect">
          <a:avLst/>
        </a:prstGeom>
        <a:scene3d>
          <a:camera prst="orthographicFront"/>
          <a:lightRig rig="threePt" dir="t"/>
        </a:scene3d>
        <a:sp3d>
          <a:bevelT/>
        </a:sp3d>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0</xdr:row>
      <xdr:rowOff>144780</xdr:rowOff>
    </xdr:from>
    <xdr:to>
      <xdr:col>21</xdr:col>
      <xdr:colOff>335280</xdr:colOff>
      <xdr:row>32</xdr:row>
      <xdr:rowOff>30480</xdr:rowOff>
    </xdr:to>
    <xdr:sp macro="" textlink="">
      <xdr:nvSpPr>
        <xdr:cNvPr id="2" name="Rectangle 1">
          <a:extLst>
            <a:ext uri="{FF2B5EF4-FFF2-40B4-BE49-F238E27FC236}">
              <a16:creationId xmlns:a16="http://schemas.microsoft.com/office/drawing/2014/main" id="{6AFBAD26-6C01-04D1-AAD5-B3128C14901D}"/>
            </a:ext>
          </a:extLst>
        </xdr:cNvPr>
        <xdr:cNvSpPr/>
      </xdr:nvSpPr>
      <xdr:spPr>
        <a:xfrm>
          <a:off x="228600" y="144780"/>
          <a:ext cx="12908280" cy="573786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ana Sekar" refreshedDate="46109.804412268517" createdVersion="8" refreshedVersion="8" minRefreshableVersion="3" recordCount="1000" xr:uid="{02C81B7A-4B08-4C90-8CE4-22A6A2ED94F7}">
  <cacheSource type="worksheet">
    <worksheetSource name="Table1"/>
  </cacheSource>
  <cacheFields count="19">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7"/>
    </cacheField>
    <cacheField name="Time" numFmtId="21">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0">
      <sharedItems containsSemiMixedTypes="0" containsString="0" containsNumber="1" minValue="4" maxValue="10"/>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2109050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
    <x v="0"/>
    <x v="0"/>
    <x v="0"/>
    <x v="0"/>
    <n v="74.69"/>
    <n v="7"/>
    <n v="26.141500000000001"/>
    <n v="548.97149999999999"/>
    <x v="0"/>
    <x v="0"/>
    <x v="0"/>
    <n v="522.83000000000004"/>
    <n v="4.7619047620000003"/>
    <x v="0"/>
    <n v="9.1"/>
  </r>
  <r>
    <x v="1"/>
    <s v="C"/>
    <x v="1"/>
    <x v="1"/>
    <x v="0"/>
    <x v="1"/>
    <n v="15.28"/>
    <n v="5"/>
    <n v="3.82"/>
    <n v="80.22"/>
    <x v="1"/>
    <x v="1"/>
    <x v="1"/>
    <n v="76.400000000000006"/>
    <n v="4.7619047620000003"/>
    <x v="1"/>
    <n v="9.6"/>
  </r>
  <r>
    <x v="2"/>
    <s v="A"/>
    <x v="0"/>
    <x v="1"/>
    <x v="1"/>
    <x v="2"/>
    <n v="46.33"/>
    <n v="7"/>
    <n v="16.215499999999999"/>
    <n v="340.52550000000002"/>
    <x v="2"/>
    <x v="2"/>
    <x v="2"/>
    <n v="324.31"/>
    <n v="4.7619047620000003"/>
    <x v="2"/>
    <n v="7.4"/>
  </r>
  <r>
    <x v="3"/>
    <s v="A"/>
    <x v="0"/>
    <x v="0"/>
    <x v="1"/>
    <x v="0"/>
    <n v="58.22"/>
    <n v="8"/>
    <n v="23.288"/>
    <n v="489.048"/>
    <x v="3"/>
    <x v="3"/>
    <x v="0"/>
    <n v="465.76"/>
    <n v="4.7619047620000003"/>
    <x v="3"/>
    <n v="8.4"/>
  </r>
  <r>
    <x v="4"/>
    <s v="A"/>
    <x v="0"/>
    <x v="1"/>
    <x v="1"/>
    <x v="3"/>
    <n v="86.31"/>
    <n v="7"/>
    <n v="30.208500000000001"/>
    <n v="634.37850000000003"/>
    <x v="4"/>
    <x v="4"/>
    <x v="0"/>
    <n v="604.16999999999996"/>
    <n v="4.7619047620000003"/>
    <x v="4"/>
    <n v="5.3"/>
  </r>
  <r>
    <x v="5"/>
    <s v="C"/>
    <x v="1"/>
    <x v="1"/>
    <x v="1"/>
    <x v="1"/>
    <n v="85.39"/>
    <n v="7"/>
    <n v="29.886500000000002"/>
    <n v="627.61649999999997"/>
    <x v="5"/>
    <x v="5"/>
    <x v="0"/>
    <n v="597.73"/>
    <n v="4.7619047620000003"/>
    <x v="5"/>
    <n v="4.0999999999999996"/>
  </r>
  <r>
    <x v="6"/>
    <s v="A"/>
    <x v="0"/>
    <x v="0"/>
    <x v="0"/>
    <x v="1"/>
    <n v="68.84"/>
    <n v="6"/>
    <n v="20.652000000000001"/>
    <n v="433.69200000000001"/>
    <x v="6"/>
    <x v="6"/>
    <x v="0"/>
    <n v="413.04"/>
    <n v="4.7619047620000003"/>
    <x v="6"/>
    <n v="5.8"/>
  </r>
  <r>
    <x v="7"/>
    <s v="C"/>
    <x v="1"/>
    <x v="1"/>
    <x v="0"/>
    <x v="2"/>
    <n v="73.56"/>
    <n v="10"/>
    <n v="36.78"/>
    <n v="772.38"/>
    <x v="7"/>
    <x v="7"/>
    <x v="0"/>
    <n v="735.6"/>
    <n v="4.7619047620000003"/>
    <x v="7"/>
    <n v="8"/>
  </r>
  <r>
    <x v="8"/>
    <s v="A"/>
    <x v="0"/>
    <x v="0"/>
    <x v="0"/>
    <x v="0"/>
    <n v="36.26"/>
    <n v="2"/>
    <n v="3.6259999999999999"/>
    <n v="76.146000000000001"/>
    <x v="8"/>
    <x v="8"/>
    <x v="2"/>
    <n v="72.52"/>
    <n v="4.7619047620000003"/>
    <x v="8"/>
    <n v="7.2"/>
  </r>
  <r>
    <x v="9"/>
    <s v="B"/>
    <x v="2"/>
    <x v="0"/>
    <x v="0"/>
    <x v="4"/>
    <n v="54.84"/>
    <n v="3"/>
    <n v="8.2260000000000009"/>
    <n v="172.74600000000001"/>
    <x v="9"/>
    <x v="9"/>
    <x v="2"/>
    <n v="164.52"/>
    <n v="4.7619047620000003"/>
    <x v="9"/>
    <n v="5.9"/>
  </r>
  <r>
    <x v="10"/>
    <s v="B"/>
    <x v="2"/>
    <x v="0"/>
    <x v="0"/>
    <x v="5"/>
    <n v="14.48"/>
    <n v="4"/>
    <n v="2.8959999999999999"/>
    <n v="60.816000000000003"/>
    <x v="10"/>
    <x v="10"/>
    <x v="0"/>
    <n v="57.92"/>
    <n v="4.7619047620000003"/>
    <x v="10"/>
    <n v="4.5"/>
  </r>
  <r>
    <x v="11"/>
    <s v="B"/>
    <x v="2"/>
    <x v="0"/>
    <x v="1"/>
    <x v="1"/>
    <n v="25.51"/>
    <n v="4"/>
    <n v="5.1020000000000003"/>
    <n v="107.142"/>
    <x v="11"/>
    <x v="11"/>
    <x v="1"/>
    <n v="102.04"/>
    <n v="4.7619047620000003"/>
    <x v="11"/>
    <n v="6.8"/>
  </r>
  <r>
    <x v="12"/>
    <s v="A"/>
    <x v="0"/>
    <x v="1"/>
    <x v="0"/>
    <x v="1"/>
    <n v="46.95"/>
    <n v="5"/>
    <n v="11.737500000000001"/>
    <n v="246.48750000000001"/>
    <x v="12"/>
    <x v="12"/>
    <x v="0"/>
    <n v="234.75"/>
    <n v="4.7619047620000003"/>
    <x v="12"/>
    <n v="7.1"/>
  </r>
  <r>
    <x v="13"/>
    <s v="A"/>
    <x v="0"/>
    <x v="1"/>
    <x v="1"/>
    <x v="4"/>
    <n v="43.19"/>
    <n v="10"/>
    <n v="21.594999999999999"/>
    <n v="453.495"/>
    <x v="13"/>
    <x v="13"/>
    <x v="0"/>
    <n v="431.9"/>
    <n v="4.7619047620000003"/>
    <x v="13"/>
    <n v="8.1999999999999993"/>
  </r>
  <r>
    <x v="14"/>
    <s v="A"/>
    <x v="0"/>
    <x v="1"/>
    <x v="0"/>
    <x v="0"/>
    <n v="71.38"/>
    <n v="10"/>
    <n v="35.69"/>
    <n v="749.49"/>
    <x v="14"/>
    <x v="14"/>
    <x v="1"/>
    <n v="713.8"/>
    <n v="4.7619047620000003"/>
    <x v="14"/>
    <n v="5.7"/>
  </r>
  <r>
    <x v="15"/>
    <s v="B"/>
    <x v="2"/>
    <x v="0"/>
    <x v="0"/>
    <x v="3"/>
    <n v="93.72"/>
    <n v="6"/>
    <n v="28.116"/>
    <n v="590.43600000000004"/>
    <x v="15"/>
    <x v="15"/>
    <x v="1"/>
    <n v="562.32000000000005"/>
    <n v="4.7619047620000003"/>
    <x v="15"/>
    <n v="4.5"/>
  </r>
  <r>
    <x v="16"/>
    <s v="A"/>
    <x v="0"/>
    <x v="0"/>
    <x v="0"/>
    <x v="0"/>
    <n v="68.930000000000007"/>
    <n v="7"/>
    <n v="24.125499999999999"/>
    <n v="506.63549999999998"/>
    <x v="16"/>
    <x v="16"/>
    <x v="2"/>
    <n v="482.51"/>
    <n v="4.7619047620000003"/>
    <x v="16"/>
    <n v="4.5999999999999996"/>
  </r>
  <r>
    <x v="17"/>
    <s v="A"/>
    <x v="0"/>
    <x v="1"/>
    <x v="1"/>
    <x v="3"/>
    <n v="72.61"/>
    <n v="6"/>
    <n v="21.783000000000001"/>
    <n v="457.44299999999998"/>
    <x v="17"/>
    <x v="17"/>
    <x v="2"/>
    <n v="435.66"/>
    <n v="4.7619047620000003"/>
    <x v="17"/>
    <n v="6.9"/>
  </r>
  <r>
    <x v="18"/>
    <s v="A"/>
    <x v="0"/>
    <x v="1"/>
    <x v="1"/>
    <x v="4"/>
    <n v="54.67"/>
    <n v="3"/>
    <n v="8.2004999999999999"/>
    <n v="172.2105"/>
    <x v="18"/>
    <x v="18"/>
    <x v="2"/>
    <n v="164.01"/>
    <n v="4.7619047620000003"/>
    <x v="18"/>
    <n v="8.6"/>
  </r>
  <r>
    <x v="19"/>
    <s v="B"/>
    <x v="2"/>
    <x v="1"/>
    <x v="0"/>
    <x v="2"/>
    <n v="40.299999999999997"/>
    <n v="2"/>
    <n v="4.03"/>
    <n v="84.63"/>
    <x v="16"/>
    <x v="19"/>
    <x v="0"/>
    <n v="80.599999999999994"/>
    <n v="4.7619047620000003"/>
    <x v="19"/>
    <n v="4.4000000000000004"/>
  </r>
  <r>
    <x v="20"/>
    <s v="C"/>
    <x v="1"/>
    <x v="0"/>
    <x v="1"/>
    <x v="1"/>
    <n v="86.04"/>
    <n v="5"/>
    <n v="21.51"/>
    <n v="451.71"/>
    <x v="6"/>
    <x v="20"/>
    <x v="0"/>
    <n v="430.2"/>
    <n v="4.7619047620000003"/>
    <x v="20"/>
    <n v="4.8"/>
  </r>
  <r>
    <x v="21"/>
    <s v="B"/>
    <x v="2"/>
    <x v="1"/>
    <x v="1"/>
    <x v="0"/>
    <n v="87.98"/>
    <n v="3"/>
    <n v="13.196999999999999"/>
    <n v="277.137"/>
    <x v="19"/>
    <x v="21"/>
    <x v="0"/>
    <n v="263.94"/>
    <n v="4.7619047620000003"/>
    <x v="21"/>
    <n v="5.0999999999999996"/>
  </r>
  <r>
    <x v="22"/>
    <s v="B"/>
    <x v="2"/>
    <x v="1"/>
    <x v="1"/>
    <x v="2"/>
    <n v="33.200000000000003"/>
    <n v="2"/>
    <n v="3.32"/>
    <n v="69.72"/>
    <x v="20"/>
    <x v="22"/>
    <x v="2"/>
    <n v="66.400000000000006"/>
    <n v="4.7619047620000003"/>
    <x v="22"/>
    <n v="4.4000000000000004"/>
  </r>
  <r>
    <x v="23"/>
    <s v="A"/>
    <x v="0"/>
    <x v="1"/>
    <x v="1"/>
    <x v="1"/>
    <n v="34.56"/>
    <n v="5"/>
    <n v="8.64"/>
    <n v="181.44"/>
    <x v="21"/>
    <x v="23"/>
    <x v="0"/>
    <n v="172.8"/>
    <n v="4.7619047620000003"/>
    <x v="23"/>
    <n v="9.9"/>
  </r>
  <r>
    <x v="24"/>
    <s v="A"/>
    <x v="0"/>
    <x v="0"/>
    <x v="1"/>
    <x v="3"/>
    <n v="88.63"/>
    <n v="3"/>
    <n v="13.294499999999999"/>
    <n v="279.18450000000001"/>
    <x v="22"/>
    <x v="24"/>
    <x v="0"/>
    <n v="265.89"/>
    <n v="4.7619047620000003"/>
    <x v="24"/>
    <n v="6"/>
  </r>
  <r>
    <x v="25"/>
    <s v="A"/>
    <x v="0"/>
    <x v="0"/>
    <x v="0"/>
    <x v="2"/>
    <n v="52.59"/>
    <n v="8"/>
    <n v="21.036000000000001"/>
    <n v="441.75599999999997"/>
    <x v="23"/>
    <x v="25"/>
    <x v="2"/>
    <n v="420.72"/>
    <n v="4.7619047620000003"/>
    <x v="25"/>
    <n v="8.5"/>
  </r>
  <r>
    <x v="26"/>
    <s v="B"/>
    <x v="2"/>
    <x v="1"/>
    <x v="1"/>
    <x v="5"/>
    <n v="33.520000000000003"/>
    <n v="1"/>
    <n v="1.6759999999999999"/>
    <n v="35.195999999999998"/>
    <x v="4"/>
    <x v="26"/>
    <x v="1"/>
    <n v="33.520000000000003"/>
    <n v="4.7619047620000003"/>
    <x v="26"/>
    <n v="6.7"/>
  </r>
  <r>
    <x v="27"/>
    <s v="A"/>
    <x v="0"/>
    <x v="1"/>
    <x v="0"/>
    <x v="5"/>
    <n v="87.67"/>
    <n v="2"/>
    <n v="8.7669999999999995"/>
    <n v="184.107"/>
    <x v="24"/>
    <x v="27"/>
    <x v="2"/>
    <n v="175.34"/>
    <n v="4.7619047620000003"/>
    <x v="27"/>
    <n v="7.7"/>
  </r>
  <r>
    <x v="28"/>
    <s v="B"/>
    <x v="2"/>
    <x v="1"/>
    <x v="0"/>
    <x v="4"/>
    <n v="88.36"/>
    <n v="5"/>
    <n v="22.09"/>
    <n v="463.89"/>
    <x v="25"/>
    <x v="28"/>
    <x v="1"/>
    <n v="441.8"/>
    <n v="4.7619047620000003"/>
    <x v="28"/>
    <n v="9.6"/>
  </r>
  <r>
    <x v="29"/>
    <s v="A"/>
    <x v="0"/>
    <x v="1"/>
    <x v="1"/>
    <x v="0"/>
    <n v="24.89"/>
    <n v="9"/>
    <n v="11.2005"/>
    <n v="235.2105"/>
    <x v="20"/>
    <x v="29"/>
    <x v="1"/>
    <n v="224.01"/>
    <n v="4.7619047620000003"/>
    <x v="29"/>
    <n v="7.4"/>
  </r>
  <r>
    <x v="30"/>
    <s v="B"/>
    <x v="2"/>
    <x v="1"/>
    <x v="1"/>
    <x v="5"/>
    <n v="94.13"/>
    <n v="5"/>
    <n v="23.532499999999999"/>
    <n v="494.1825"/>
    <x v="6"/>
    <x v="30"/>
    <x v="2"/>
    <n v="470.65"/>
    <n v="4.7619047620000003"/>
    <x v="30"/>
    <n v="4.8"/>
  </r>
  <r>
    <x v="31"/>
    <s v="B"/>
    <x v="2"/>
    <x v="0"/>
    <x v="1"/>
    <x v="3"/>
    <n v="78.069999999999993"/>
    <n v="9"/>
    <n v="35.131500000000003"/>
    <n v="737.76149999999996"/>
    <x v="26"/>
    <x v="31"/>
    <x v="1"/>
    <n v="702.63"/>
    <n v="4.7619047620000003"/>
    <x v="31"/>
    <n v="4.5"/>
  </r>
  <r>
    <x v="32"/>
    <s v="B"/>
    <x v="2"/>
    <x v="1"/>
    <x v="1"/>
    <x v="3"/>
    <n v="83.78"/>
    <n v="8"/>
    <n v="33.512"/>
    <n v="703.75199999999995"/>
    <x v="8"/>
    <x v="32"/>
    <x v="1"/>
    <n v="670.24"/>
    <n v="4.7619047620000003"/>
    <x v="32"/>
    <n v="5.0999999999999996"/>
  </r>
  <r>
    <x v="33"/>
    <s v="A"/>
    <x v="0"/>
    <x v="1"/>
    <x v="1"/>
    <x v="0"/>
    <n v="96.58"/>
    <n v="2"/>
    <n v="9.6579999999999995"/>
    <n v="202.81800000000001"/>
    <x v="20"/>
    <x v="33"/>
    <x v="2"/>
    <n v="193.16"/>
    <n v="4.7619047620000003"/>
    <x v="33"/>
    <n v="5.0999999999999996"/>
  </r>
  <r>
    <x v="34"/>
    <s v="C"/>
    <x v="1"/>
    <x v="0"/>
    <x v="0"/>
    <x v="4"/>
    <n v="99.42"/>
    <n v="4"/>
    <n v="19.884"/>
    <n v="417.56400000000002"/>
    <x v="10"/>
    <x v="34"/>
    <x v="0"/>
    <n v="397.68"/>
    <n v="4.7619047620000003"/>
    <x v="34"/>
    <n v="7.5"/>
  </r>
  <r>
    <x v="35"/>
    <s v="C"/>
    <x v="1"/>
    <x v="0"/>
    <x v="0"/>
    <x v="3"/>
    <n v="68.12"/>
    <n v="1"/>
    <n v="3.4060000000000001"/>
    <n v="71.525999999999996"/>
    <x v="27"/>
    <x v="35"/>
    <x v="0"/>
    <n v="68.12"/>
    <n v="4.7619047620000003"/>
    <x v="35"/>
    <n v="6.8"/>
  </r>
  <r>
    <x v="36"/>
    <s v="A"/>
    <x v="0"/>
    <x v="0"/>
    <x v="1"/>
    <x v="3"/>
    <n v="62.62"/>
    <n v="5"/>
    <n v="15.654999999999999"/>
    <n v="328.755"/>
    <x v="24"/>
    <x v="36"/>
    <x v="0"/>
    <n v="313.10000000000002"/>
    <n v="4.7619047620000003"/>
    <x v="36"/>
    <n v="7"/>
  </r>
  <r>
    <x v="37"/>
    <s v="A"/>
    <x v="0"/>
    <x v="1"/>
    <x v="0"/>
    <x v="1"/>
    <n v="60.88"/>
    <n v="9"/>
    <n v="27.396000000000001"/>
    <n v="575.31600000000003"/>
    <x v="15"/>
    <x v="37"/>
    <x v="0"/>
    <n v="547.91999999999996"/>
    <n v="4.7619047620000003"/>
    <x v="37"/>
    <n v="4.7"/>
  </r>
  <r>
    <x v="38"/>
    <s v="C"/>
    <x v="1"/>
    <x v="1"/>
    <x v="0"/>
    <x v="0"/>
    <n v="54.92"/>
    <n v="8"/>
    <n v="21.968"/>
    <n v="461.32799999999997"/>
    <x v="28"/>
    <x v="38"/>
    <x v="0"/>
    <n v="439.36"/>
    <n v="4.7619047620000003"/>
    <x v="38"/>
    <n v="7.6"/>
  </r>
  <r>
    <x v="39"/>
    <s v="B"/>
    <x v="2"/>
    <x v="0"/>
    <x v="1"/>
    <x v="2"/>
    <n v="30.12"/>
    <n v="8"/>
    <n v="12.048"/>
    <n v="253.00800000000001"/>
    <x v="2"/>
    <x v="39"/>
    <x v="1"/>
    <n v="240.96"/>
    <n v="4.7619047620000003"/>
    <x v="39"/>
    <n v="7.7"/>
  </r>
  <r>
    <x v="40"/>
    <s v="B"/>
    <x v="2"/>
    <x v="0"/>
    <x v="0"/>
    <x v="2"/>
    <n v="86.72"/>
    <n v="1"/>
    <n v="4.3360000000000003"/>
    <n v="91.055999999999997"/>
    <x v="29"/>
    <x v="40"/>
    <x v="0"/>
    <n v="86.72"/>
    <n v="4.7619047620000003"/>
    <x v="40"/>
    <n v="7.9"/>
  </r>
  <r>
    <x v="41"/>
    <s v="C"/>
    <x v="1"/>
    <x v="0"/>
    <x v="1"/>
    <x v="2"/>
    <n v="56.11"/>
    <n v="2"/>
    <n v="5.6109999999999998"/>
    <n v="117.831"/>
    <x v="30"/>
    <x v="41"/>
    <x v="1"/>
    <n v="112.22"/>
    <n v="4.7619047620000003"/>
    <x v="41"/>
    <n v="6.3"/>
  </r>
  <r>
    <x v="42"/>
    <s v="B"/>
    <x v="2"/>
    <x v="0"/>
    <x v="0"/>
    <x v="3"/>
    <n v="69.12"/>
    <n v="6"/>
    <n v="20.736000000000001"/>
    <n v="435.45600000000002"/>
    <x v="4"/>
    <x v="42"/>
    <x v="1"/>
    <n v="414.72"/>
    <n v="4.7619047620000003"/>
    <x v="42"/>
    <n v="5.6"/>
  </r>
  <r>
    <x v="43"/>
    <s v="C"/>
    <x v="1"/>
    <x v="0"/>
    <x v="0"/>
    <x v="4"/>
    <n v="98.7"/>
    <n v="8"/>
    <n v="39.479999999999997"/>
    <n v="829.08"/>
    <x v="31"/>
    <x v="43"/>
    <x v="1"/>
    <n v="789.6"/>
    <n v="4.7619047620000003"/>
    <x v="43"/>
    <n v="7.6"/>
  </r>
  <r>
    <x v="44"/>
    <s v="C"/>
    <x v="1"/>
    <x v="0"/>
    <x v="1"/>
    <x v="0"/>
    <n v="15.37"/>
    <n v="2"/>
    <n v="1.5369999999999999"/>
    <n v="32.277000000000001"/>
    <x v="32"/>
    <x v="44"/>
    <x v="1"/>
    <n v="30.74"/>
    <n v="4.7619047620000003"/>
    <x v="44"/>
    <n v="7.2"/>
  </r>
  <r>
    <x v="45"/>
    <s v="B"/>
    <x v="2"/>
    <x v="0"/>
    <x v="0"/>
    <x v="1"/>
    <n v="93.96"/>
    <n v="4"/>
    <n v="18.792000000000002"/>
    <n v="394.63200000000001"/>
    <x v="11"/>
    <x v="18"/>
    <x v="1"/>
    <n v="375.84"/>
    <n v="4.7619047620000003"/>
    <x v="45"/>
    <n v="9.5"/>
  </r>
  <r>
    <x v="46"/>
    <s v="B"/>
    <x v="2"/>
    <x v="0"/>
    <x v="1"/>
    <x v="0"/>
    <n v="56.69"/>
    <n v="9"/>
    <n v="25.5105"/>
    <n v="535.72050000000002"/>
    <x v="33"/>
    <x v="45"/>
    <x v="2"/>
    <n v="510.21"/>
    <n v="4.7619047620000003"/>
    <x v="46"/>
    <n v="8.4"/>
  </r>
  <r>
    <x v="47"/>
    <s v="B"/>
    <x v="2"/>
    <x v="0"/>
    <x v="0"/>
    <x v="4"/>
    <n v="20.010000000000002"/>
    <n v="9"/>
    <n v="9.0045000000000002"/>
    <n v="189.09450000000001"/>
    <x v="10"/>
    <x v="46"/>
    <x v="0"/>
    <n v="180.09"/>
    <n v="4.7619047620000003"/>
    <x v="47"/>
    <n v="4.0999999999999996"/>
  </r>
  <r>
    <x v="48"/>
    <s v="B"/>
    <x v="2"/>
    <x v="0"/>
    <x v="1"/>
    <x v="1"/>
    <n v="18.93"/>
    <n v="6"/>
    <n v="5.6790000000000003"/>
    <n v="119.259"/>
    <x v="34"/>
    <x v="47"/>
    <x v="2"/>
    <n v="113.58"/>
    <n v="4.7619047620000003"/>
    <x v="48"/>
    <n v="8.1"/>
  </r>
  <r>
    <x v="49"/>
    <s v="C"/>
    <x v="1"/>
    <x v="0"/>
    <x v="0"/>
    <x v="5"/>
    <n v="82.63"/>
    <n v="10"/>
    <n v="41.314999999999998"/>
    <n v="867.61500000000001"/>
    <x v="35"/>
    <x v="48"/>
    <x v="0"/>
    <n v="826.3"/>
    <n v="4.7619047620000003"/>
    <x v="49"/>
    <n v="7.9"/>
  </r>
  <r>
    <x v="50"/>
    <s v="C"/>
    <x v="1"/>
    <x v="0"/>
    <x v="1"/>
    <x v="4"/>
    <n v="91.4"/>
    <n v="7"/>
    <n v="31.99"/>
    <n v="671.79"/>
    <x v="36"/>
    <x v="49"/>
    <x v="1"/>
    <n v="639.79999999999995"/>
    <n v="4.7619047620000003"/>
    <x v="50"/>
    <n v="9.5"/>
  </r>
  <r>
    <x v="51"/>
    <s v="A"/>
    <x v="0"/>
    <x v="0"/>
    <x v="0"/>
    <x v="4"/>
    <n v="44.59"/>
    <n v="5"/>
    <n v="11.147500000000001"/>
    <n v="234.0975"/>
    <x v="34"/>
    <x v="50"/>
    <x v="1"/>
    <n v="222.95"/>
    <n v="4.7619047620000003"/>
    <x v="51"/>
    <n v="8.5"/>
  </r>
  <r>
    <x v="52"/>
    <s v="B"/>
    <x v="2"/>
    <x v="0"/>
    <x v="0"/>
    <x v="5"/>
    <n v="17.87"/>
    <n v="4"/>
    <n v="3.5739999999999998"/>
    <n v="75.054000000000002"/>
    <x v="23"/>
    <x v="51"/>
    <x v="0"/>
    <n v="71.48"/>
    <n v="4.7619047620000003"/>
    <x v="52"/>
    <n v="6.5"/>
  </r>
  <r>
    <x v="53"/>
    <s v="C"/>
    <x v="1"/>
    <x v="0"/>
    <x v="1"/>
    <x v="5"/>
    <n v="15.43"/>
    <n v="1"/>
    <n v="0.77149999999999996"/>
    <n v="16.201499999999999"/>
    <x v="25"/>
    <x v="52"/>
    <x v="2"/>
    <n v="15.43"/>
    <n v="4.7619047620000003"/>
    <x v="53"/>
    <n v="6.1"/>
  </r>
  <r>
    <x v="54"/>
    <s v="B"/>
    <x v="2"/>
    <x v="1"/>
    <x v="1"/>
    <x v="2"/>
    <n v="16.16"/>
    <n v="2"/>
    <n v="1.6160000000000001"/>
    <n v="33.936"/>
    <x v="37"/>
    <x v="53"/>
    <x v="0"/>
    <n v="32.32"/>
    <n v="4.7619047620000003"/>
    <x v="54"/>
    <n v="6.5"/>
  </r>
  <r>
    <x v="55"/>
    <s v="C"/>
    <x v="1"/>
    <x v="1"/>
    <x v="0"/>
    <x v="1"/>
    <n v="85.98"/>
    <n v="8"/>
    <n v="34.392000000000003"/>
    <n v="722.23199999999997"/>
    <x v="38"/>
    <x v="54"/>
    <x v="1"/>
    <n v="687.84"/>
    <n v="4.7619047620000003"/>
    <x v="55"/>
    <n v="8.1999999999999993"/>
  </r>
  <r>
    <x v="56"/>
    <s v="A"/>
    <x v="0"/>
    <x v="0"/>
    <x v="1"/>
    <x v="2"/>
    <n v="44.34"/>
    <n v="2"/>
    <n v="4.4340000000000002"/>
    <n v="93.114000000000004"/>
    <x v="39"/>
    <x v="55"/>
    <x v="1"/>
    <n v="88.68"/>
    <n v="4.7619047620000003"/>
    <x v="56"/>
    <n v="5.8"/>
  </r>
  <r>
    <x v="57"/>
    <s v="A"/>
    <x v="0"/>
    <x v="1"/>
    <x v="1"/>
    <x v="0"/>
    <n v="89.6"/>
    <n v="8"/>
    <n v="35.840000000000003"/>
    <n v="752.64"/>
    <x v="13"/>
    <x v="56"/>
    <x v="0"/>
    <n v="716.8"/>
    <n v="4.7619047620000003"/>
    <x v="57"/>
    <n v="6.6"/>
  </r>
  <r>
    <x v="58"/>
    <s v="A"/>
    <x v="0"/>
    <x v="0"/>
    <x v="0"/>
    <x v="2"/>
    <n v="72.349999999999994"/>
    <n v="10"/>
    <n v="36.174999999999997"/>
    <n v="759.67499999999995"/>
    <x v="40"/>
    <x v="57"/>
    <x v="1"/>
    <n v="723.5"/>
    <n v="4.7619047620000003"/>
    <x v="58"/>
    <n v="5.4"/>
  </r>
  <r>
    <x v="59"/>
    <s v="C"/>
    <x v="1"/>
    <x v="1"/>
    <x v="1"/>
    <x v="1"/>
    <n v="30.61"/>
    <n v="6"/>
    <n v="9.1829999999999998"/>
    <n v="192.84299999999999"/>
    <x v="41"/>
    <x v="58"/>
    <x v="1"/>
    <n v="183.66"/>
    <n v="4.7619047620000003"/>
    <x v="59"/>
    <n v="9.3000000000000007"/>
  </r>
  <r>
    <x v="60"/>
    <s v="C"/>
    <x v="1"/>
    <x v="0"/>
    <x v="0"/>
    <x v="3"/>
    <n v="24.74"/>
    <n v="3"/>
    <n v="3.7109999999999999"/>
    <n v="77.930999999999997"/>
    <x v="42"/>
    <x v="59"/>
    <x v="2"/>
    <n v="74.22"/>
    <n v="4.7619047620000003"/>
    <x v="60"/>
    <n v="10"/>
  </r>
  <r>
    <x v="61"/>
    <s v="C"/>
    <x v="1"/>
    <x v="1"/>
    <x v="1"/>
    <x v="2"/>
    <n v="55.73"/>
    <n v="6"/>
    <n v="16.719000000000001"/>
    <n v="351.09899999999999"/>
    <x v="7"/>
    <x v="60"/>
    <x v="0"/>
    <n v="334.38"/>
    <n v="4.7619047620000003"/>
    <x v="61"/>
    <n v="7"/>
  </r>
  <r>
    <x v="62"/>
    <s v="B"/>
    <x v="2"/>
    <x v="0"/>
    <x v="0"/>
    <x v="3"/>
    <n v="55.07"/>
    <n v="9"/>
    <n v="24.781500000000001"/>
    <n v="520.41150000000005"/>
    <x v="36"/>
    <x v="61"/>
    <x v="0"/>
    <n v="495.63"/>
    <n v="4.7619047620000003"/>
    <x v="62"/>
    <n v="10"/>
  </r>
  <r>
    <x v="63"/>
    <s v="A"/>
    <x v="0"/>
    <x v="0"/>
    <x v="1"/>
    <x v="3"/>
    <n v="15.81"/>
    <n v="10"/>
    <n v="7.9050000000000002"/>
    <n v="166.005"/>
    <x v="43"/>
    <x v="62"/>
    <x v="2"/>
    <n v="158.1"/>
    <n v="4.7619047620000003"/>
    <x v="63"/>
    <n v="8.6"/>
  </r>
  <r>
    <x v="64"/>
    <s v="B"/>
    <x v="2"/>
    <x v="0"/>
    <x v="1"/>
    <x v="0"/>
    <n v="75.739999999999995"/>
    <n v="4"/>
    <n v="15.148"/>
    <n v="318.108"/>
    <x v="44"/>
    <x v="63"/>
    <x v="1"/>
    <n v="302.95999999999998"/>
    <n v="4.7619047620000003"/>
    <x v="64"/>
    <n v="7.6"/>
  </r>
  <r>
    <x v="65"/>
    <s v="A"/>
    <x v="0"/>
    <x v="0"/>
    <x v="1"/>
    <x v="0"/>
    <n v="15.87"/>
    <n v="10"/>
    <n v="7.9349999999999996"/>
    <n v="166.63499999999999"/>
    <x v="45"/>
    <x v="64"/>
    <x v="1"/>
    <n v="158.69999999999999"/>
    <n v="4.7619047620000003"/>
    <x v="65"/>
    <n v="5.8"/>
  </r>
  <r>
    <x v="66"/>
    <s v="C"/>
    <x v="1"/>
    <x v="1"/>
    <x v="0"/>
    <x v="0"/>
    <n v="33.47"/>
    <n v="2"/>
    <n v="3.347"/>
    <n v="70.287000000000006"/>
    <x v="34"/>
    <x v="65"/>
    <x v="0"/>
    <n v="66.94"/>
    <n v="4.7619047620000003"/>
    <x v="66"/>
    <n v="6.7"/>
  </r>
  <r>
    <x v="67"/>
    <s v="B"/>
    <x v="2"/>
    <x v="0"/>
    <x v="0"/>
    <x v="5"/>
    <n v="97.61"/>
    <n v="6"/>
    <n v="29.283000000000001"/>
    <n v="614.94299999999998"/>
    <x v="27"/>
    <x v="66"/>
    <x v="0"/>
    <n v="585.66"/>
    <n v="4.7619047620000003"/>
    <x v="67"/>
    <n v="9.9"/>
  </r>
  <r>
    <x v="68"/>
    <s v="A"/>
    <x v="0"/>
    <x v="1"/>
    <x v="1"/>
    <x v="3"/>
    <n v="78.77"/>
    <n v="10"/>
    <n v="39.384999999999998"/>
    <n v="827.08500000000004"/>
    <x v="46"/>
    <x v="67"/>
    <x v="1"/>
    <n v="787.7"/>
    <n v="4.7619047620000003"/>
    <x v="68"/>
    <n v="6.4"/>
  </r>
  <r>
    <x v="69"/>
    <s v="A"/>
    <x v="0"/>
    <x v="0"/>
    <x v="0"/>
    <x v="0"/>
    <n v="18.329999999999998"/>
    <n v="1"/>
    <n v="0.91649999999999998"/>
    <n v="19.246500000000001"/>
    <x v="30"/>
    <x v="68"/>
    <x v="1"/>
    <n v="18.329999999999998"/>
    <n v="4.7619047620000003"/>
    <x v="69"/>
    <n v="4.3"/>
  </r>
  <r>
    <x v="70"/>
    <s v="C"/>
    <x v="1"/>
    <x v="1"/>
    <x v="1"/>
    <x v="4"/>
    <n v="89.48"/>
    <n v="10"/>
    <n v="44.74"/>
    <n v="939.54"/>
    <x v="47"/>
    <x v="69"/>
    <x v="2"/>
    <n v="894.8"/>
    <n v="4.7619047620000003"/>
    <x v="70"/>
    <n v="9.6"/>
  </r>
  <r>
    <x v="71"/>
    <s v="C"/>
    <x v="1"/>
    <x v="1"/>
    <x v="1"/>
    <x v="5"/>
    <n v="62.12"/>
    <n v="10"/>
    <n v="31.06"/>
    <n v="652.26"/>
    <x v="48"/>
    <x v="15"/>
    <x v="1"/>
    <n v="621.20000000000005"/>
    <n v="4.7619047620000003"/>
    <x v="71"/>
    <n v="5.9"/>
  </r>
  <r>
    <x v="72"/>
    <s v="B"/>
    <x v="2"/>
    <x v="0"/>
    <x v="0"/>
    <x v="4"/>
    <n v="48.52"/>
    <n v="3"/>
    <n v="7.2779999999999996"/>
    <n v="152.83799999999999"/>
    <x v="19"/>
    <x v="70"/>
    <x v="0"/>
    <n v="145.56"/>
    <n v="4.7619047620000003"/>
    <x v="72"/>
    <n v="4"/>
  </r>
  <r>
    <x v="73"/>
    <s v="C"/>
    <x v="1"/>
    <x v="1"/>
    <x v="0"/>
    <x v="1"/>
    <n v="75.91"/>
    <n v="6"/>
    <n v="22.773"/>
    <n v="478.233"/>
    <x v="11"/>
    <x v="71"/>
    <x v="1"/>
    <n v="455.46"/>
    <n v="4.7619047620000003"/>
    <x v="73"/>
    <n v="8.6999999999999993"/>
  </r>
  <r>
    <x v="74"/>
    <s v="A"/>
    <x v="0"/>
    <x v="1"/>
    <x v="1"/>
    <x v="2"/>
    <n v="74.67"/>
    <n v="9"/>
    <n v="33.601500000000001"/>
    <n v="705.63149999999996"/>
    <x v="49"/>
    <x v="60"/>
    <x v="0"/>
    <n v="672.03"/>
    <n v="4.7619047620000003"/>
    <x v="74"/>
    <n v="9.4"/>
  </r>
  <r>
    <x v="75"/>
    <s v="C"/>
    <x v="1"/>
    <x v="1"/>
    <x v="0"/>
    <x v="1"/>
    <n v="41.65"/>
    <n v="10"/>
    <n v="20.824999999999999"/>
    <n v="437.32499999999999"/>
    <x v="50"/>
    <x v="72"/>
    <x v="2"/>
    <n v="416.5"/>
    <n v="4.7619047620000003"/>
    <x v="75"/>
    <n v="5.4"/>
  </r>
  <r>
    <x v="76"/>
    <s v="C"/>
    <x v="1"/>
    <x v="0"/>
    <x v="1"/>
    <x v="5"/>
    <n v="49.04"/>
    <n v="9"/>
    <n v="22.068000000000001"/>
    <n v="463.428"/>
    <x v="51"/>
    <x v="73"/>
    <x v="2"/>
    <n v="441.36"/>
    <n v="4.7619047620000003"/>
    <x v="76"/>
    <n v="8.6"/>
  </r>
  <r>
    <x v="77"/>
    <s v="A"/>
    <x v="0"/>
    <x v="0"/>
    <x v="0"/>
    <x v="5"/>
    <n v="20.010000000000002"/>
    <n v="9"/>
    <n v="9.0045000000000002"/>
    <n v="189.09450000000001"/>
    <x v="52"/>
    <x v="74"/>
    <x v="2"/>
    <n v="180.09"/>
    <n v="4.7619047620000003"/>
    <x v="47"/>
    <n v="5.7"/>
  </r>
  <r>
    <x v="78"/>
    <s v="C"/>
    <x v="1"/>
    <x v="0"/>
    <x v="0"/>
    <x v="4"/>
    <n v="78.31"/>
    <n v="10"/>
    <n v="39.155000000000001"/>
    <n v="822.255"/>
    <x v="19"/>
    <x v="75"/>
    <x v="0"/>
    <n v="783.1"/>
    <n v="4.7619047620000003"/>
    <x v="77"/>
    <n v="6.6"/>
  </r>
  <r>
    <x v="79"/>
    <s v="C"/>
    <x v="1"/>
    <x v="1"/>
    <x v="0"/>
    <x v="0"/>
    <n v="20.38"/>
    <n v="5"/>
    <n v="5.0949999999999998"/>
    <n v="106.995"/>
    <x v="49"/>
    <x v="76"/>
    <x v="1"/>
    <n v="101.9"/>
    <n v="4.7619047620000003"/>
    <x v="78"/>
    <n v="6"/>
  </r>
  <r>
    <x v="80"/>
    <s v="C"/>
    <x v="1"/>
    <x v="1"/>
    <x v="0"/>
    <x v="0"/>
    <n v="99.19"/>
    <n v="6"/>
    <n v="29.757000000000001"/>
    <n v="624.89700000000005"/>
    <x v="18"/>
    <x v="51"/>
    <x v="2"/>
    <n v="595.14"/>
    <n v="4.7619047620000003"/>
    <x v="79"/>
    <n v="5.5"/>
  </r>
  <r>
    <x v="81"/>
    <s v="B"/>
    <x v="2"/>
    <x v="1"/>
    <x v="0"/>
    <x v="4"/>
    <n v="96.68"/>
    <n v="3"/>
    <n v="14.502000000000001"/>
    <n v="304.54199999999997"/>
    <x v="53"/>
    <x v="77"/>
    <x v="0"/>
    <n v="290.04000000000002"/>
    <n v="4.7619047620000003"/>
    <x v="80"/>
    <n v="6.4"/>
  </r>
  <r>
    <x v="82"/>
    <s v="C"/>
    <x v="1"/>
    <x v="1"/>
    <x v="1"/>
    <x v="4"/>
    <n v="19.25"/>
    <n v="8"/>
    <n v="7.7"/>
    <n v="161.69999999999999"/>
    <x v="54"/>
    <x v="78"/>
    <x v="0"/>
    <n v="154"/>
    <n v="4.7619047620000003"/>
    <x v="81"/>
    <n v="6.6"/>
  </r>
  <r>
    <x v="83"/>
    <s v="C"/>
    <x v="1"/>
    <x v="0"/>
    <x v="0"/>
    <x v="4"/>
    <n v="80.36"/>
    <n v="4"/>
    <n v="16.071999999999999"/>
    <n v="337.512"/>
    <x v="55"/>
    <x v="40"/>
    <x v="2"/>
    <n v="321.44"/>
    <n v="4.7619047620000003"/>
    <x v="82"/>
    <n v="8.3000000000000007"/>
  </r>
  <r>
    <x v="84"/>
    <s v="C"/>
    <x v="1"/>
    <x v="0"/>
    <x v="1"/>
    <x v="3"/>
    <n v="48.91"/>
    <n v="5"/>
    <n v="12.227499999999999"/>
    <n v="256.77749999999997"/>
    <x v="11"/>
    <x v="79"/>
    <x v="1"/>
    <n v="244.55"/>
    <n v="4.7619047620000003"/>
    <x v="83"/>
    <n v="6.6"/>
  </r>
  <r>
    <x v="85"/>
    <s v="C"/>
    <x v="1"/>
    <x v="1"/>
    <x v="0"/>
    <x v="3"/>
    <n v="83.06"/>
    <n v="7"/>
    <n v="29.071000000000002"/>
    <n v="610.49099999999999"/>
    <x v="19"/>
    <x v="80"/>
    <x v="0"/>
    <n v="581.41999999999996"/>
    <n v="4.7619047620000003"/>
    <x v="84"/>
    <n v="4"/>
  </r>
  <r>
    <x v="86"/>
    <s v="C"/>
    <x v="1"/>
    <x v="1"/>
    <x v="1"/>
    <x v="5"/>
    <n v="76.52"/>
    <n v="5"/>
    <n v="19.13"/>
    <n v="401.73"/>
    <x v="5"/>
    <x v="81"/>
    <x v="1"/>
    <n v="382.6"/>
    <n v="4.7619047620000003"/>
    <x v="85"/>
    <n v="9.9"/>
  </r>
  <r>
    <x v="87"/>
    <s v="A"/>
    <x v="0"/>
    <x v="0"/>
    <x v="1"/>
    <x v="4"/>
    <n v="49.38"/>
    <n v="7"/>
    <n v="17.283000000000001"/>
    <n v="362.94299999999998"/>
    <x v="39"/>
    <x v="82"/>
    <x v="2"/>
    <n v="345.66"/>
    <n v="4.7619047620000003"/>
    <x v="86"/>
    <n v="7.3"/>
  </r>
  <r>
    <x v="88"/>
    <s v="A"/>
    <x v="0"/>
    <x v="1"/>
    <x v="1"/>
    <x v="3"/>
    <n v="42.47"/>
    <n v="1"/>
    <n v="2.1234999999999999"/>
    <n v="44.593499999999999"/>
    <x v="56"/>
    <x v="83"/>
    <x v="1"/>
    <n v="42.47"/>
    <n v="4.7619047620000003"/>
    <x v="87"/>
    <n v="5.7"/>
  </r>
  <r>
    <x v="89"/>
    <s v="B"/>
    <x v="2"/>
    <x v="1"/>
    <x v="0"/>
    <x v="0"/>
    <n v="76.989999999999995"/>
    <n v="6"/>
    <n v="23.097000000000001"/>
    <n v="485.03699999999998"/>
    <x v="33"/>
    <x v="84"/>
    <x v="1"/>
    <n v="461.94"/>
    <n v="4.7619047620000003"/>
    <x v="88"/>
    <n v="6.1"/>
  </r>
  <r>
    <x v="90"/>
    <s v="C"/>
    <x v="1"/>
    <x v="0"/>
    <x v="0"/>
    <x v="2"/>
    <n v="47.38"/>
    <n v="4"/>
    <n v="9.4760000000000009"/>
    <n v="198.99600000000001"/>
    <x v="54"/>
    <x v="12"/>
    <x v="1"/>
    <n v="189.52"/>
    <n v="4.7619047620000003"/>
    <x v="89"/>
    <n v="7.1"/>
  </r>
  <r>
    <x v="91"/>
    <s v="C"/>
    <x v="1"/>
    <x v="1"/>
    <x v="0"/>
    <x v="3"/>
    <n v="44.86"/>
    <n v="10"/>
    <n v="22.43"/>
    <n v="471.03"/>
    <x v="53"/>
    <x v="85"/>
    <x v="0"/>
    <n v="448.6"/>
    <n v="4.7619047620000003"/>
    <x v="90"/>
    <n v="8.1999999999999993"/>
  </r>
  <r>
    <x v="92"/>
    <s v="A"/>
    <x v="0"/>
    <x v="0"/>
    <x v="0"/>
    <x v="3"/>
    <n v="21.98"/>
    <n v="7"/>
    <n v="7.6929999999999996"/>
    <n v="161.553"/>
    <x v="8"/>
    <x v="86"/>
    <x v="0"/>
    <n v="153.86000000000001"/>
    <n v="4.7619047620000003"/>
    <x v="91"/>
    <n v="5.0999999999999996"/>
  </r>
  <r>
    <x v="93"/>
    <s v="B"/>
    <x v="2"/>
    <x v="0"/>
    <x v="1"/>
    <x v="0"/>
    <n v="64.36"/>
    <n v="9"/>
    <n v="28.962"/>
    <n v="608.202"/>
    <x v="41"/>
    <x v="87"/>
    <x v="2"/>
    <n v="579.24"/>
    <n v="4.7619047620000003"/>
    <x v="92"/>
    <n v="8.6"/>
  </r>
  <r>
    <x v="94"/>
    <s v="C"/>
    <x v="1"/>
    <x v="1"/>
    <x v="1"/>
    <x v="0"/>
    <n v="89.75"/>
    <n v="1"/>
    <n v="4.4874999999999998"/>
    <n v="94.237499999999997"/>
    <x v="10"/>
    <x v="88"/>
    <x v="2"/>
    <n v="89.75"/>
    <n v="4.7619047620000003"/>
    <x v="93"/>
    <n v="6.6"/>
  </r>
  <r>
    <x v="95"/>
    <s v="A"/>
    <x v="0"/>
    <x v="1"/>
    <x v="1"/>
    <x v="1"/>
    <n v="97.16"/>
    <n v="1"/>
    <n v="4.8579999999999997"/>
    <n v="102.018"/>
    <x v="1"/>
    <x v="89"/>
    <x v="0"/>
    <n v="97.16"/>
    <n v="4.7619047620000003"/>
    <x v="94"/>
    <n v="7.2"/>
  </r>
  <r>
    <x v="96"/>
    <s v="B"/>
    <x v="2"/>
    <x v="1"/>
    <x v="1"/>
    <x v="0"/>
    <n v="87.87"/>
    <n v="10"/>
    <n v="43.935000000000002"/>
    <n v="922.63499999999999"/>
    <x v="14"/>
    <x v="12"/>
    <x v="0"/>
    <n v="878.7"/>
    <n v="4.7619047620000003"/>
    <x v="95"/>
    <n v="5.0999999999999996"/>
  </r>
  <r>
    <x v="97"/>
    <s v="C"/>
    <x v="1"/>
    <x v="1"/>
    <x v="0"/>
    <x v="1"/>
    <n v="12.45"/>
    <n v="6"/>
    <n v="3.7349999999999999"/>
    <n v="78.435000000000002"/>
    <x v="57"/>
    <x v="90"/>
    <x v="1"/>
    <n v="74.7"/>
    <n v="4.7619047620000003"/>
    <x v="96"/>
    <n v="4.0999999999999996"/>
  </r>
  <r>
    <x v="98"/>
    <s v="A"/>
    <x v="0"/>
    <x v="1"/>
    <x v="1"/>
    <x v="4"/>
    <n v="52.75"/>
    <n v="3"/>
    <n v="7.9124999999999996"/>
    <n v="166.16249999999999"/>
    <x v="28"/>
    <x v="91"/>
    <x v="0"/>
    <n v="158.25"/>
    <n v="4.7619047620000003"/>
    <x v="97"/>
    <n v="9.3000000000000007"/>
  </r>
  <r>
    <x v="99"/>
    <s v="B"/>
    <x v="2"/>
    <x v="1"/>
    <x v="1"/>
    <x v="2"/>
    <n v="82.7"/>
    <n v="6"/>
    <n v="24.81"/>
    <n v="521.01"/>
    <x v="19"/>
    <x v="92"/>
    <x v="1"/>
    <n v="496.2"/>
    <n v="4.7619047620000003"/>
    <x v="98"/>
    <n v="7.4"/>
  </r>
  <r>
    <x v="100"/>
    <s v="C"/>
    <x v="1"/>
    <x v="0"/>
    <x v="1"/>
    <x v="5"/>
    <n v="48.71"/>
    <n v="1"/>
    <n v="2.4355000000000002"/>
    <n v="51.145499999999998"/>
    <x v="58"/>
    <x v="25"/>
    <x v="1"/>
    <n v="48.71"/>
    <n v="4.7619047620000003"/>
    <x v="99"/>
    <n v="4.0999999999999996"/>
  </r>
  <r>
    <x v="101"/>
    <s v="C"/>
    <x v="1"/>
    <x v="1"/>
    <x v="1"/>
    <x v="5"/>
    <n v="78.55"/>
    <n v="9"/>
    <n v="35.347499999999997"/>
    <n v="742.29750000000001"/>
    <x v="59"/>
    <x v="93"/>
    <x v="1"/>
    <n v="706.95"/>
    <n v="4.7619047620000003"/>
    <x v="100"/>
    <n v="7.2"/>
  </r>
  <r>
    <x v="102"/>
    <s v="C"/>
    <x v="1"/>
    <x v="1"/>
    <x v="0"/>
    <x v="1"/>
    <n v="23.07"/>
    <n v="9"/>
    <n v="10.381500000000001"/>
    <n v="218.01150000000001"/>
    <x v="60"/>
    <x v="94"/>
    <x v="1"/>
    <n v="207.63"/>
    <n v="4.7619047620000003"/>
    <x v="101"/>
    <n v="4.9000000000000004"/>
  </r>
  <r>
    <x v="103"/>
    <s v="A"/>
    <x v="0"/>
    <x v="1"/>
    <x v="1"/>
    <x v="4"/>
    <n v="58.26"/>
    <n v="6"/>
    <n v="17.478000000000002"/>
    <n v="367.03800000000001"/>
    <x v="61"/>
    <x v="95"/>
    <x v="1"/>
    <n v="349.56"/>
    <n v="4.7619047620000003"/>
    <x v="102"/>
    <n v="9.9"/>
  </r>
  <r>
    <x v="104"/>
    <s v="B"/>
    <x v="2"/>
    <x v="1"/>
    <x v="1"/>
    <x v="0"/>
    <n v="30.35"/>
    <n v="7"/>
    <n v="10.6225"/>
    <n v="223.07249999999999"/>
    <x v="35"/>
    <x v="96"/>
    <x v="1"/>
    <n v="212.45"/>
    <n v="4.7619047620000003"/>
    <x v="103"/>
    <n v="8"/>
  </r>
  <r>
    <x v="105"/>
    <s v="A"/>
    <x v="0"/>
    <x v="0"/>
    <x v="1"/>
    <x v="1"/>
    <n v="88.67"/>
    <n v="10"/>
    <n v="44.335000000000001"/>
    <n v="931.03499999999997"/>
    <x v="52"/>
    <x v="97"/>
    <x v="0"/>
    <n v="886.7"/>
    <n v="4.7619047620000003"/>
    <x v="104"/>
    <n v="7.3"/>
  </r>
  <r>
    <x v="106"/>
    <s v="C"/>
    <x v="1"/>
    <x v="1"/>
    <x v="1"/>
    <x v="5"/>
    <n v="27.38"/>
    <n v="6"/>
    <n v="8.2140000000000004"/>
    <n v="172.494"/>
    <x v="0"/>
    <x v="98"/>
    <x v="2"/>
    <n v="164.28"/>
    <n v="4.7619047620000003"/>
    <x v="105"/>
    <n v="7.9"/>
  </r>
  <r>
    <x v="107"/>
    <s v="A"/>
    <x v="0"/>
    <x v="1"/>
    <x v="1"/>
    <x v="3"/>
    <n v="62.13"/>
    <n v="6"/>
    <n v="18.638999999999999"/>
    <n v="391.41899999999998"/>
    <x v="23"/>
    <x v="99"/>
    <x v="1"/>
    <n v="372.78"/>
    <n v="4.7619047620000003"/>
    <x v="106"/>
    <n v="7.4"/>
  </r>
  <r>
    <x v="108"/>
    <s v="C"/>
    <x v="1"/>
    <x v="1"/>
    <x v="0"/>
    <x v="4"/>
    <n v="33.979999999999997"/>
    <n v="9"/>
    <n v="15.291"/>
    <n v="321.11099999999999"/>
    <x v="62"/>
    <x v="100"/>
    <x v="1"/>
    <n v="305.82"/>
    <n v="4.7619047620000003"/>
    <x v="107"/>
    <n v="4.2"/>
  </r>
  <r>
    <x v="109"/>
    <s v="C"/>
    <x v="1"/>
    <x v="0"/>
    <x v="1"/>
    <x v="1"/>
    <n v="81.97"/>
    <n v="10"/>
    <n v="40.984999999999999"/>
    <n v="860.68499999999995"/>
    <x v="2"/>
    <x v="101"/>
    <x v="1"/>
    <n v="819.7"/>
    <n v="4.7619047620000003"/>
    <x v="108"/>
    <n v="9.1999999999999993"/>
  </r>
  <r>
    <x v="110"/>
    <s v="B"/>
    <x v="2"/>
    <x v="0"/>
    <x v="0"/>
    <x v="3"/>
    <n v="16.489999999999998"/>
    <n v="2"/>
    <n v="1.649"/>
    <n v="34.628999999999998"/>
    <x v="63"/>
    <x v="102"/>
    <x v="0"/>
    <n v="32.979999999999997"/>
    <n v="4.7619047620000003"/>
    <x v="109"/>
    <n v="4.5999999999999996"/>
  </r>
  <r>
    <x v="111"/>
    <s v="C"/>
    <x v="1"/>
    <x v="0"/>
    <x v="0"/>
    <x v="0"/>
    <n v="98.21"/>
    <n v="3"/>
    <n v="14.7315"/>
    <n v="309.36149999999998"/>
    <x v="63"/>
    <x v="103"/>
    <x v="2"/>
    <n v="294.63"/>
    <n v="4.7619047620000003"/>
    <x v="110"/>
    <n v="7.8"/>
  </r>
  <r>
    <x v="112"/>
    <s v="B"/>
    <x v="2"/>
    <x v="1"/>
    <x v="0"/>
    <x v="5"/>
    <n v="72.84"/>
    <n v="7"/>
    <n v="25.494"/>
    <n v="535.37400000000002"/>
    <x v="42"/>
    <x v="104"/>
    <x v="1"/>
    <n v="509.88"/>
    <n v="4.7619047620000003"/>
    <x v="111"/>
    <n v="8.4"/>
  </r>
  <r>
    <x v="113"/>
    <s v="A"/>
    <x v="0"/>
    <x v="0"/>
    <x v="1"/>
    <x v="2"/>
    <n v="58.07"/>
    <n v="9"/>
    <n v="26.131499999999999"/>
    <n v="548.76149999999996"/>
    <x v="64"/>
    <x v="105"/>
    <x v="0"/>
    <n v="522.63"/>
    <n v="4.7619047620000003"/>
    <x v="112"/>
    <n v="4.3"/>
  </r>
  <r>
    <x v="114"/>
    <s v="C"/>
    <x v="1"/>
    <x v="0"/>
    <x v="0"/>
    <x v="2"/>
    <n v="80.790000000000006"/>
    <n v="9"/>
    <n v="36.355499999999999"/>
    <n v="763.46550000000002"/>
    <x v="60"/>
    <x v="106"/>
    <x v="2"/>
    <n v="727.11"/>
    <n v="4.7619047620000003"/>
    <x v="113"/>
    <n v="9.5"/>
  </r>
  <r>
    <x v="115"/>
    <s v="C"/>
    <x v="1"/>
    <x v="1"/>
    <x v="0"/>
    <x v="5"/>
    <n v="27.02"/>
    <n v="3"/>
    <n v="4.0529999999999999"/>
    <n v="85.113"/>
    <x v="22"/>
    <x v="39"/>
    <x v="2"/>
    <n v="81.06"/>
    <n v="4.7619047620000003"/>
    <x v="114"/>
    <n v="7.1"/>
  </r>
  <r>
    <x v="116"/>
    <s v="B"/>
    <x v="2"/>
    <x v="0"/>
    <x v="1"/>
    <x v="5"/>
    <n v="21.94"/>
    <n v="5"/>
    <n v="5.4850000000000003"/>
    <n v="115.185"/>
    <x v="19"/>
    <x v="107"/>
    <x v="0"/>
    <n v="109.7"/>
    <n v="4.7619047620000003"/>
    <x v="115"/>
    <n v="5.3"/>
  </r>
  <r>
    <x v="117"/>
    <s v="B"/>
    <x v="2"/>
    <x v="0"/>
    <x v="1"/>
    <x v="5"/>
    <n v="51.36"/>
    <n v="1"/>
    <n v="2.5680000000000001"/>
    <n v="53.927999999999997"/>
    <x v="65"/>
    <x v="108"/>
    <x v="0"/>
    <n v="51.36"/>
    <n v="4.7619047620000003"/>
    <x v="116"/>
    <n v="5.2"/>
  </r>
  <r>
    <x v="118"/>
    <s v="A"/>
    <x v="0"/>
    <x v="1"/>
    <x v="0"/>
    <x v="4"/>
    <n v="10.96"/>
    <n v="10"/>
    <n v="5.48"/>
    <n v="115.08"/>
    <x v="30"/>
    <x v="109"/>
    <x v="0"/>
    <n v="109.6"/>
    <n v="4.7619047620000003"/>
    <x v="117"/>
    <n v="6"/>
  </r>
  <r>
    <x v="119"/>
    <s v="B"/>
    <x v="2"/>
    <x v="1"/>
    <x v="1"/>
    <x v="2"/>
    <n v="53.44"/>
    <n v="2"/>
    <n v="5.3440000000000003"/>
    <n v="112.224"/>
    <x v="40"/>
    <x v="89"/>
    <x v="0"/>
    <n v="106.88"/>
    <n v="4.7619047620000003"/>
    <x v="118"/>
    <n v="4.0999999999999996"/>
  </r>
  <r>
    <x v="120"/>
    <s v="A"/>
    <x v="0"/>
    <x v="1"/>
    <x v="0"/>
    <x v="1"/>
    <n v="99.56"/>
    <n v="8"/>
    <n v="39.823999999999998"/>
    <n v="836.30399999999997"/>
    <x v="44"/>
    <x v="11"/>
    <x v="2"/>
    <n v="796.48"/>
    <n v="4.7619047620000003"/>
    <x v="119"/>
    <n v="5.2"/>
  </r>
  <r>
    <x v="121"/>
    <s v="C"/>
    <x v="1"/>
    <x v="0"/>
    <x v="1"/>
    <x v="3"/>
    <n v="57.12"/>
    <n v="7"/>
    <n v="19.992000000000001"/>
    <n v="419.83199999999999"/>
    <x v="52"/>
    <x v="110"/>
    <x v="2"/>
    <n v="399.84"/>
    <n v="4.7619047620000003"/>
    <x v="120"/>
    <n v="6.5"/>
  </r>
  <r>
    <x v="122"/>
    <s v="B"/>
    <x v="2"/>
    <x v="0"/>
    <x v="1"/>
    <x v="3"/>
    <n v="99.96"/>
    <n v="9"/>
    <n v="44.981999999999999"/>
    <n v="944.62199999999996"/>
    <x v="11"/>
    <x v="111"/>
    <x v="2"/>
    <n v="899.64"/>
    <n v="4.7619047620000003"/>
    <x v="121"/>
    <n v="4.2"/>
  </r>
  <r>
    <x v="123"/>
    <s v="C"/>
    <x v="1"/>
    <x v="0"/>
    <x v="1"/>
    <x v="2"/>
    <n v="63.91"/>
    <n v="8"/>
    <n v="25.564"/>
    <n v="536.84400000000005"/>
    <x v="45"/>
    <x v="112"/>
    <x v="2"/>
    <n v="511.28"/>
    <n v="4.7619047620000003"/>
    <x v="122"/>
    <n v="4.5999999999999996"/>
  </r>
  <r>
    <x v="124"/>
    <s v="B"/>
    <x v="2"/>
    <x v="0"/>
    <x v="0"/>
    <x v="5"/>
    <n v="56.47"/>
    <n v="8"/>
    <n v="22.588000000000001"/>
    <n v="474.34800000000001"/>
    <x v="11"/>
    <x v="113"/>
    <x v="0"/>
    <n v="451.76"/>
    <n v="4.7619047620000003"/>
    <x v="123"/>
    <n v="7.3"/>
  </r>
  <r>
    <x v="125"/>
    <s v="A"/>
    <x v="0"/>
    <x v="1"/>
    <x v="0"/>
    <x v="2"/>
    <n v="93.69"/>
    <n v="7"/>
    <n v="32.791499999999999"/>
    <n v="688.62149999999997"/>
    <x v="24"/>
    <x v="114"/>
    <x v="2"/>
    <n v="655.83"/>
    <n v="4.7619047620000003"/>
    <x v="124"/>
    <n v="4.5"/>
  </r>
  <r>
    <x v="126"/>
    <s v="A"/>
    <x v="0"/>
    <x v="1"/>
    <x v="0"/>
    <x v="3"/>
    <n v="32.25"/>
    <n v="5"/>
    <n v="8.0625"/>
    <n v="169.3125"/>
    <x v="3"/>
    <x v="115"/>
    <x v="1"/>
    <n v="161.25"/>
    <n v="4.7619047620000003"/>
    <x v="125"/>
    <n v="9"/>
  </r>
  <r>
    <x v="127"/>
    <s v="C"/>
    <x v="1"/>
    <x v="1"/>
    <x v="0"/>
    <x v="5"/>
    <n v="31.73"/>
    <n v="9"/>
    <n v="14.278499999999999"/>
    <n v="299.8485"/>
    <x v="66"/>
    <x v="116"/>
    <x v="2"/>
    <n v="285.57"/>
    <n v="4.7619047620000003"/>
    <x v="126"/>
    <n v="5.9"/>
  </r>
  <r>
    <x v="128"/>
    <s v="C"/>
    <x v="1"/>
    <x v="0"/>
    <x v="0"/>
    <x v="4"/>
    <n v="68.540000000000006"/>
    <n v="8"/>
    <n v="27.416"/>
    <n v="575.73599999999999"/>
    <x v="66"/>
    <x v="117"/>
    <x v="0"/>
    <n v="548.32000000000005"/>
    <n v="4.7619047620000003"/>
    <x v="127"/>
    <n v="8.5"/>
  </r>
  <r>
    <x v="129"/>
    <s v="B"/>
    <x v="2"/>
    <x v="1"/>
    <x v="0"/>
    <x v="3"/>
    <n v="90.28"/>
    <n v="9"/>
    <n v="40.625999999999998"/>
    <n v="853.14599999999996"/>
    <x v="4"/>
    <x v="23"/>
    <x v="0"/>
    <n v="812.52"/>
    <n v="4.7619047620000003"/>
    <x v="128"/>
    <n v="7.2"/>
  </r>
  <r>
    <x v="130"/>
    <s v="B"/>
    <x v="2"/>
    <x v="1"/>
    <x v="0"/>
    <x v="5"/>
    <n v="39.619999999999997"/>
    <n v="7"/>
    <n v="13.867000000000001"/>
    <n v="291.20699999999999"/>
    <x v="25"/>
    <x v="118"/>
    <x v="1"/>
    <n v="277.33999999999997"/>
    <n v="4.7619047620000003"/>
    <x v="129"/>
    <n v="7.5"/>
  </r>
  <r>
    <x v="131"/>
    <s v="A"/>
    <x v="0"/>
    <x v="0"/>
    <x v="0"/>
    <x v="3"/>
    <n v="92.13"/>
    <n v="6"/>
    <n v="27.638999999999999"/>
    <n v="580.41899999999998"/>
    <x v="43"/>
    <x v="119"/>
    <x v="1"/>
    <n v="552.78"/>
    <n v="4.7619047620000003"/>
    <x v="130"/>
    <n v="8.3000000000000007"/>
  </r>
  <r>
    <x v="132"/>
    <s v="B"/>
    <x v="2"/>
    <x v="1"/>
    <x v="0"/>
    <x v="3"/>
    <n v="34.840000000000003"/>
    <n v="4"/>
    <n v="6.968"/>
    <n v="146.328"/>
    <x v="34"/>
    <x v="120"/>
    <x v="1"/>
    <n v="139.36000000000001"/>
    <n v="4.7619047620000003"/>
    <x v="131"/>
    <n v="7.4"/>
  </r>
  <r>
    <x v="133"/>
    <s v="B"/>
    <x v="2"/>
    <x v="0"/>
    <x v="1"/>
    <x v="1"/>
    <n v="87.45"/>
    <n v="6"/>
    <n v="26.234999999999999"/>
    <n v="550.93499999999995"/>
    <x v="21"/>
    <x v="121"/>
    <x v="2"/>
    <n v="524.70000000000005"/>
    <n v="4.7619047620000003"/>
    <x v="132"/>
    <n v="8.8000000000000007"/>
  </r>
  <r>
    <x v="134"/>
    <s v="C"/>
    <x v="1"/>
    <x v="1"/>
    <x v="0"/>
    <x v="0"/>
    <n v="81.3"/>
    <n v="6"/>
    <n v="24.39"/>
    <n v="512.19000000000005"/>
    <x v="1"/>
    <x v="122"/>
    <x v="0"/>
    <n v="487.8"/>
    <n v="4.7619047620000003"/>
    <x v="133"/>
    <n v="5.3"/>
  </r>
  <r>
    <x v="135"/>
    <s v="C"/>
    <x v="1"/>
    <x v="1"/>
    <x v="1"/>
    <x v="5"/>
    <n v="90.22"/>
    <n v="3"/>
    <n v="13.532999999999999"/>
    <n v="284.19299999999998"/>
    <x v="67"/>
    <x v="30"/>
    <x v="1"/>
    <n v="270.66000000000003"/>
    <n v="4.7619047620000003"/>
    <x v="134"/>
    <n v="6.2"/>
  </r>
  <r>
    <x v="136"/>
    <s v="A"/>
    <x v="0"/>
    <x v="1"/>
    <x v="0"/>
    <x v="1"/>
    <n v="26.31"/>
    <n v="5"/>
    <n v="6.5774999999999997"/>
    <n v="138.1275"/>
    <x v="68"/>
    <x v="123"/>
    <x v="2"/>
    <n v="131.55000000000001"/>
    <n v="4.7619047620000003"/>
    <x v="135"/>
    <n v="8.8000000000000007"/>
  </r>
  <r>
    <x v="137"/>
    <s v="A"/>
    <x v="0"/>
    <x v="0"/>
    <x v="0"/>
    <x v="2"/>
    <n v="34.42"/>
    <n v="6"/>
    <n v="10.326000000000001"/>
    <n v="216.846"/>
    <x v="67"/>
    <x v="124"/>
    <x v="1"/>
    <n v="206.52"/>
    <n v="4.7619047620000003"/>
    <x v="136"/>
    <n v="9.8000000000000007"/>
  </r>
  <r>
    <x v="138"/>
    <s v="B"/>
    <x v="2"/>
    <x v="1"/>
    <x v="1"/>
    <x v="3"/>
    <n v="51.91"/>
    <n v="10"/>
    <n v="25.954999999999998"/>
    <n v="545.05499999999995"/>
    <x v="69"/>
    <x v="125"/>
    <x v="1"/>
    <n v="519.1"/>
    <n v="4.7619047620000003"/>
    <x v="137"/>
    <n v="8.1999999999999993"/>
  </r>
  <r>
    <x v="139"/>
    <s v="A"/>
    <x v="0"/>
    <x v="1"/>
    <x v="1"/>
    <x v="3"/>
    <n v="72.5"/>
    <n v="8"/>
    <n v="29"/>
    <n v="609"/>
    <x v="32"/>
    <x v="126"/>
    <x v="0"/>
    <n v="580"/>
    <n v="4.7619047620000003"/>
    <x v="138"/>
    <n v="9.1999999999999993"/>
  </r>
  <r>
    <x v="140"/>
    <s v="C"/>
    <x v="1"/>
    <x v="0"/>
    <x v="0"/>
    <x v="3"/>
    <n v="89.8"/>
    <n v="10"/>
    <n v="44.9"/>
    <n v="942.9"/>
    <x v="54"/>
    <x v="127"/>
    <x v="2"/>
    <n v="898"/>
    <n v="4.7619047620000003"/>
    <x v="139"/>
    <n v="5.4"/>
  </r>
  <r>
    <x v="141"/>
    <s v="C"/>
    <x v="1"/>
    <x v="0"/>
    <x v="1"/>
    <x v="0"/>
    <n v="90.5"/>
    <n v="10"/>
    <n v="45.25"/>
    <n v="950.25"/>
    <x v="25"/>
    <x v="128"/>
    <x v="1"/>
    <n v="905"/>
    <n v="4.7619047620000003"/>
    <x v="140"/>
    <n v="8.1"/>
  </r>
  <r>
    <x v="142"/>
    <s v="C"/>
    <x v="1"/>
    <x v="0"/>
    <x v="0"/>
    <x v="0"/>
    <n v="68.599999999999994"/>
    <n v="10"/>
    <n v="34.299999999999997"/>
    <n v="720.3"/>
    <x v="63"/>
    <x v="129"/>
    <x v="1"/>
    <n v="686"/>
    <n v="4.7619047620000003"/>
    <x v="141"/>
    <n v="9.1"/>
  </r>
  <r>
    <x v="143"/>
    <s v="C"/>
    <x v="1"/>
    <x v="0"/>
    <x v="0"/>
    <x v="4"/>
    <n v="30.41"/>
    <n v="1"/>
    <n v="1.5205"/>
    <n v="31.930499999999999"/>
    <x v="70"/>
    <x v="130"/>
    <x v="2"/>
    <n v="30.41"/>
    <n v="4.7619047620000003"/>
    <x v="142"/>
    <n v="8.4"/>
  </r>
  <r>
    <x v="144"/>
    <s v="A"/>
    <x v="0"/>
    <x v="1"/>
    <x v="0"/>
    <x v="2"/>
    <n v="77.95"/>
    <n v="6"/>
    <n v="23.385000000000002"/>
    <n v="491.08499999999998"/>
    <x v="18"/>
    <x v="131"/>
    <x v="0"/>
    <n v="467.7"/>
    <n v="4.7619047620000003"/>
    <x v="143"/>
    <n v="8"/>
  </r>
  <r>
    <x v="145"/>
    <s v="C"/>
    <x v="1"/>
    <x v="1"/>
    <x v="0"/>
    <x v="0"/>
    <n v="46.26"/>
    <n v="6"/>
    <n v="13.878"/>
    <n v="291.43799999999999"/>
    <x v="1"/>
    <x v="132"/>
    <x v="2"/>
    <n v="277.56"/>
    <n v="4.7619047620000003"/>
    <x v="144"/>
    <n v="9.5"/>
  </r>
  <r>
    <x v="146"/>
    <s v="A"/>
    <x v="0"/>
    <x v="0"/>
    <x v="0"/>
    <x v="5"/>
    <n v="30.14"/>
    <n v="10"/>
    <n v="15.07"/>
    <n v="316.47000000000003"/>
    <x v="34"/>
    <x v="35"/>
    <x v="0"/>
    <n v="301.39999999999998"/>
    <n v="4.7619047620000003"/>
    <x v="145"/>
    <n v="9.1999999999999993"/>
  </r>
  <r>
    <x v="147"/>
    <s v="C"/>
    <x v="1"/>
    <x v="1"/>
    <x v="1"/>
    <x v="0"/>
    <n v="66.14"/>
    <n v="4"/>
    <n v="13.228"/>
    <n v="277.78800000000001"/>
    <x v="35"/>
    <x v="69"/>
    <x v="2"/>
    <n v="264.56"/>
    <n v="4.7619047620000003"/>
    <x v="146"/>
    <n v="5.6"/>
  </r>
  <r>
    <x v="148"/>
    <s v="B"/>
    <x v="2"/>
    <x v="0"/>
    <x v="1"/>
    <x v="2"/>
    <n v="71.86"/>
    <n v="8"/>
    <n v="28.744"/>
    <n v="603.62400000000002"/>
    <x v="43"/>
    <x v="133"/>
    <x v="2"/>
    <n v="574.88"/>
    <n v="4.7619047620000003"/>
    <x v="147"/>
    <n v="6.2"/>
  </r>
  <r>
    <x v="149"/>
    <s v="A"/>
    <x v="0"/>
    <x v="1"/>
    <x v="1"/>
    <x v="0"/>
    <n v="32.46"/>
    <n v="8"/>
    <n v="12.984"/>
    <n v="272.66399999999999"/>
    <x v="39"/>
    <x v="128"/>
    <x v="2"/>
    <n v="259.68"/>
    <n v="4.7619047620000003"/>
    <x v="148"/>
    <n v="4.9000000000000004"/>
  </r>
  <r>
    <x v="150"/>
    <s v="B"/>
    <x v="2"/>
    <x v="0"/>
    <x v="0"/>
    <x v="5"/>
    <n v="91.54"/>
    <n v="4"/>
    <n v="18.308"/>
    <n v="384.46800000000002"/>
    <x v="28"/>
    <x v="25"/>
    <x v="2"/>
    <n v="366.16"/>
    <n v="4.7619047620000003"/>
    <x v="149"/>
    <n v="4.8"/>
  </r>
  <r>
    <x v="151"/>
    <s v="C"/>
    <x v="1"/>
    <x v="0"/>
    <x v="1"/>
    <x v="3"/>
    <n v="34.56"/>
    <n v="7"/>
    <n v="12.096"/>
    <n v="254.01599999999999"/>
    <x v="16"/>
    <x v="134"/>
    <x v="2"/>
    <n v="241.92"/>
    <n v="4.7619047620000003"/>
    <x v="150"/>
    <n v="7.3"/>
  </r>
  <r>
    <x v="152"/>
    <s v="A"/>
    <x v="0"/>
    <x v="1"/>
    <x v="1"/>
    <x v="5"/>
    <n v="83.24"/>
    <n v="9"/>
    <n v="37.457999999999998"/>
    <n v="786.61800000000005"/>
    <x v="71"/>
    <x v="135"/>
    <x v="2"/>
    <n v="749.16"/>
    <n v="4.7619047620000003"/>
    <x v="151"/>
    <n v="7.4"/>
  </r>
  <r>
    <x v="153"/>
    <s v="C"/>
    <x v="1"/>
    <x v="1"/>
    <x v="0"/>
    <x v="4"/>
    <n v="16.48"/>
    <n v="6"/>
    <n v="4.944"/>
    <n v="103.824"/>
    <x v="13"/>
    <x v="136"/>
    <x v="0"/>
    <n v="98.88"/>
    <n v="4.7619047620000003"/>
    <x v="152"/>
    <n v="9.9"/>
  </r>
  <r>
    <x v="154"/>
    <s v="C"/>
    <x v="1"/>
    <x v="1"/>
    <x v="0"/>
    <x v="3"/>
    <n v="80.97"/>
    <n v="8"/>
    <n v="32.387999999999998"/>
    <n v="680.14800000000002"/>
    <x v="26"/>
    <x v="137"/>
    <x v="1"/>
    <n v="647.76"/>
    <n v="4.7619047620000003"/>
    <x v="153"/>
    <n v="9.3000000000000007"/>
  </r>
  <r>
    <x v="155"/>
    <s v="A"/>
    <x v="0"/>
    <x v="0"/>
    <x v="1"/>
    <x v="4"/>
    <n v="92.29"/>
    <n v="5"/>
    <n v="23.072500000000002"/>
    <n v="484.52249999999998"/>
    <x v="9"/>
    <x v="57"/>
    <x v="2"/>
    <n v="461.45"/>
    <n v="4.7619047620000003"/>
    <x v="154"/>
    <n v="9"/>
  </r>
  <r>
    <x v="156"/>
    <s v="B"/>
    <x v="2"/>
    <x v="0"/>
    <x v="1"/>
    <x v="1"/>
    <n v="72.17"/>
    <n v="1"/>
    <n v="3.6084999999999998"/>
    <n v="75.778499999999994"/>
    <x v="72"/>
    <x v="138"/>
    <x v="1"/>
    <n v="72.17"/>
    <n v="4.7619047620000003"/>
    <x v="155"/>
    <n v="6.1"/>
  </r>
  <r>
    <x v="157"/>
    <s v="B"/>
    <x v="2"/>
    <x v="1"/>
    <x v="1"/>
    <x v="2"/>
    <n v="50.28"/>
    <n v="5"/>
    <n v="12.57"/>
    <n v="263.97000000000003"/>
    <x v="37"/>
    <x v="139"/>
    <x v="0"/>
    <n v="251.4"/>
    <n v="4.7619047620000003"/>
    <x v="156"/>
    <n v="9.6999999999999993"/>
  </r>
  <r>
    <x v="158"/>
    <s v="B"/>
    <x v="2"/>
    <x v="0"/>
    <x v="1"/>
    <x v="0"/>
    <n v="97.22"/>
    <n v="9"/>
    <n v="43.749000000000002"/>
    <n v="918.72900000000004"/>
    <x v="73"/>
    <x v="140"/>
    <x v="0"/>
    <n v="874.98"/>
    <n v="4.7619047620000003"/>
    <x v="157"/>
    <n v="6"/>
  </r>
  <r>
    <x v="159"/>
    <s v="B"/>
    <x v="2"/>
    <x v="1"/>
    <x v="1"/>
    <x v="3"/>
    <n v="93.39"/>
    <n v="6"/>
    <n v="28.016999999999999"/>
    <n v="588.35699999999997"/>
    <x v="39"/>
    <x v="141"/>
    <x v="0"/>
    <n v="560.34"/>
    <n v="4.7619047620000003"/>
    <x v="158"/>
    <n v="10"/>
  </r>
  <r>
    <x v="160"/>
    <s v="C"/>
    <x v="1"/>
    <x v="1"/>
    <x v="0"/>
    <x v="4"/>
    <n v="43.18"/>
    <n v="8"/>
    <n v="17.271999999999998"/>
    <n v="362.71199999999999"/>
    <x v="64"/>
    <x v="30"/>
    <x v="2"/>
    <n v="345.44"/>
    <n v="4.7619047620000003"/>
    <x v="159"/>
    <n v="8.3000000000000007"/>
  </r>
  <r>
    <x v="161"/>
    <s v="A"/>
    <x v="0"/>
    <x v="1"/>
    <x v="1"/>
    <x v="3"/>
    <n v="63.69"/>
    <n v="1"/>
    <n v="3.1844999999999999"/>
    <n v="66.874499999999998"/>
    <x v="6"/>
    <x v="142"/>
    <x v="1"/>
    <n v="63.69"/>
    <n v="4.7619047620000003"/>
    <x v="160"/>
    <n v="6"/>
  </r>
  <r>
    <x v="162"/>
    <s v="A"/>
    <x v="0"/>
    <x v="1"/>
    <x v="1"/>
    <x v="4"/>
    <n v="45.79"/>
    <n v="7"/>
    <n v="16.026499999999999"/>
    <n v="336.55650000000003"/>
    <x v="45"/>
    <x v="143"/>
    <x v="2"/>
    <n v="320.52999999999997"/>
    <n v="4.7619047620000003"/>
    <x v="161"/>
    <n v="7"/>
  </r>
  <r>
    <x v="163"/>
    <s v="C"/>
    <x v="1"/>
    <x v="1"/>
    <x v="1"/>
    <x v="3"/>
    <n v="76.400000000000006"/>
    <n v="2"/>
    <n v="7.64"/>
    <n v="160.44"/>
    <x v="74"/>
    <x v="144"/>
    <x v="0"/>
    <n v="152.80000000000001"/>
    <n v="4.7619047620000003"/>
    <x v="162"/>
    <n v="6.5"/>
  </r>
  <r>
    <x v="164"/>
    <s v="B"/>
    <x v="2"/>
    <x v="1"/>
    <x v="1"/>
    <x v="4"/>
    <n v="39.9"/>
    <n v="10"/>
    <n v="19.95"/>
    <n v="418.95"/>
    <x v="9"/>
    <x v="145"/>
    <x v="2"/>
    <n v="399"/>
    <n v="4.7619047620000003"/>
    <x v="163"/>
    <n v="5.9"/>
  </r>
  <r>
    <x v="165"/>
    <s v="B"/>
    <x v="2"/>
    <x v="0"/>
    <x v="1"/>
    <x v="0"/>
    <n v="42.57"/>
    <n v="8"/>
    <n v="17.027999999999999"/>
    <n v="357.58800000000002"/>
    <x v="6"/>
    <x v="146"/>
    <x v="0"/>
    <n v="340.56"/>
    <n v="4.7619047620000003"/>
    <x v="164"/>
    <n v="5.6"/>
  </r>
  <r>
    <x v="166"/>
    <s v="C"/>
    <x v="1"/>
    <x v="1"/>
    <x v="1"/>
    <x v="2"/>
    <n v="95.58"/>
    <n v="10"/>
    <n v="47.79"/>
    <n v="1003.59"/>
    <x v="65"/>
    <x v="147"/>
    <x v="1"/>
    <n v="955.8"/>
    <n v="4.7619047620000003"/>
    <x v="165"/>
    <n v="4.8"/>
  </r>
  <r>
    <x v="167"/>
    <s v="A"/>
    <x v="0"/>
    <x v="1"/>
    <x v="1"/>
    <x v="5"/>
    <n v="98.98"/>
    <n v="10"/>
    <n v="49.49"/>
    <n v="1039.29"/>
    <x v="4"/>
    <x v="148"/>
    <x v="2"/>
    <n v="989.8"/>
    <n v="4.7619047620000003"/>
    <x v="166"/>
    <n v="8.6999999999999993"/>
  </r>
  <r>
    <x v="168"/>
    <s v="A"/>
    <x v="0"/>
    <x v="1"/>
    <x v="1"/>
    <x v="4"/>
    <n v="51.28"/>
    <n v="6"/>
    <n v="15.384"/>
    <n v="323.06400000000002"/>
    <x v="64"/>
    <x v="149"/>
    <x v="1"/>
    <n v="307.68"/>
    <n v="4.7619047620000003"/>
    <x v="167"/>
    <n v="6.5"/>
  </r>
  <r>
    <x v="169"/>
    <s v="A"/>
    <x v="0"/>
    <x v="0"/>
    <x v="1"/>
    <x v="3"/>
    <n v="69.52"/>
    <n v="7"/>
    <n v="24.332000000000001"/>
    <n v="510.97199999999998"/>
    <x v="60"/>
    <x v="50"/>
    <x v="2"/>
    <n v="486.64"/>
    <n v="4.7619047620000003"/>
    <x v="168"/>
    <n v="8.5"/>
  </r>
  <r>
    <x v="170"/>
    <s v="A"/>
    <x v="0"/>
    <x v="1"/>
    <x v="1"/>
    <x v="0"/>
    <n v="70.010000000000005"/>
    <n v="5"/>
    <n v="17.502500000000001"/>
    <n v="367.55250000000001"/>
    <x v="75"/>
    <x v="150"/>
    <x v="0"/>
    <n v="350.05"/>
    <n v="4.7619047620000003"/>
    <x v="169"/>
    <n v="5.5"/>
  </r>
  <r>
    <x v="171"/>
    <s v="B"/>
    <x v="2"/>
    <x v="0"/>
    <x v="1"/>
    <x v="4"/>
    <n v="80.05"/>
    <n v="5"/>
    <n v="20.012499999999999"/>
    <n v="420.26249999999999"/>
    <x v="53"/>
    <x v="47"/>
    <x v="2"/>
    <n v="400.25"/>
    <n v="4.7619047620000003"/>
    <x v="170"/>
    <n v="9.4"/>
  </r>
  <r>
    <x v="172"/>
    <s v="C"/>
    <x v="1"/>
    <x v="1"/>
    <x v="1"/>
    <x v="1"/>
    <n v="20.85"/>
    <n v="8"/>
    <n v="8.34"/>
    <n v="175.14"/>
    <x v="2"/>
    <x v="151"/>
    <x v="1"/>
    <n v="166.8"/>
    <n v="4.7619047620000003"/>
    <x v="171"/>
    <n v="6.3"/>
  </r>
  <r>
    <x v="173"/>
    <s v="B"/>
    <x v="2"/>
    <x v="0"/>
    <x v="1"/>
    <x v="1"/>
    <n v="52.89"/>
    <n v="6"/>
    <n v="15.867000000000001"/>
    <n v="333.20699999999999"/>
    <x v="64"/>
    <x v="152"/>
    <x v="2"/>
    <n v="317.33999999999997"/>
    <n v="4.7619047620000003"/>
    <x v="172"/>
    <n v="9.8000000000000007"/>
  </r>
  <r>
    <x v="174"/>
    <s v="B"/>
    <x v="2"/>
    <x v="1"/>
    <x v="1"/>
    <x v="4"/>
    <n v="19.79"/>
    <n v="8"/>
    <n v="7.9160000000000004"/>
    <n v="166.23599999999999"/>
    <x v="68"/>
    <x v="153"/>
    <x v="0"/>
    <n v="158.32"/>
    <n v="4.7619047620000003"/>
    <x v="173"/>
    <n v="8.6999999999999993"/>
  </r>
  <r>
    <x v="175"/>
    <s v="A"/>
    <x v="0"/>
    <x v="0"/>
    <x v="1"/>
    <x v="2"/>
    <n v="33.840000000000003"/>
    <n v="9"/>
    <n v="15.228"/>
    <n v="319.78800000000001"/>
    <x v="76"/>
    <x v="142"/>
    <x v="0"/>
    <n v="304.56"/>
    <n v="4.7619047620000003"/>
    <x v="174"/>
    <n v="8.8000000000000007"/>
  </r>
  <r>
    <x v="176"/>
    <s v="A"/>
    <x v="0"/>
    <x v="0"/>
    <x v="1"/>
    <x v="4"/>
    <n v="22.17"/>
    <n v="8"/>
    <n v="8.8680000000000003"/>
    <n v="186.22800000000001"/>
    <x v="2"/>
    <x v="154"/>
    <x v="2"/>
    <n v="177.36"/>
    <n v="4.7619047620000003"/>
    <x v="175"/>
    <n v="9.6"/>
  </r>
  <r>
    <x v="177"/>
    <s v="C"/>
    <x v="1"/>
    <x v="1"/>
    <x v="0"/>
    <x v="5"/>
    <n v="22.51"/>
    <n v="7"/>
    <n v="7.8784999999999998"/>
    <n v="165.4485"/>
    <x v="77"/>
    <x v="155"/>
    <x v="2"/>
    <n v="157.57"/>
    <n v="4.7619047620000003"/>
    <x v="176"/>
    <n v="4.8"/>
  </r>
  <r>
    <x v="178"/>
    <s v="A"/>
    <x v="0"/>
    <x v="1"/>
    <x v="1"/>
    <x v="4"/>
    <n v="73.88"/>
    <n v="6"/>
    <n v="22.164000000000001"/>
    <n v="465.44400000000002"/>
    <x v="28"/>
    <x v="156"/>
    <x v="0"/>
    <n v="443.28"/>
    <n v="4.7619047620000003"/>
    <x v="177"/>
    <n v="4.4000000000000004"/>
  </r>
  <r>
    <x v="179"/>
    <s v="C"/>
    <x v="1"/>
    <x v="0"/>
    <x v="1"/>
    <x v="0"/>
    <n v="86.8"/>
    <n v="3"/>
    <n v="13.02"/>
    <n v="273.42"/>
    <x v="26"/>
    <x v="157"/>
    <x v="0"/>
    <n v="260.39999999999998"/>
    <n v="4.7619047620000003"/>
    <x v="178"/>
    <n v="9.9"/>
  </r>
  <r>
    <x v="180"/>
    <s v="C"/>
    <x v="1"/>
    <x v="1"/>
    <x v="1"/>
    <x v="5"/>
    <n v="64.260000000000005"/>
    <n v="7"/>
    <n v="22.491"/>
    <n v="472.31099999999998"/>
    <x v="57"/>
    <x v="158"/>
    <x v="1"/>
    <n v="449.82"/>
    <n v="4.7619047620000003"/>
    <x v="179"/>
    <n v="5.7"/>
  </r>
  <r>
    <x v="181"/>
    <s v="C"/>
    <x v="1"/>
    <x v="0"/>
    <x v="1"/>
    <x v="4"/>
    <n v="38.47"/>
    <n v="8"/>
    <n v="15.388"/>
    <n v="323.14800000000002"/>
    <x v="54"/>
    <x v="159"/>
    <x v="1"/>
    <n v="307.76"/>
    <n v="4.7619047620000003"/>
    <x v="180"/>
    <n v="7.7"/>
  </r>
  <r>
    <x v="182"/>
    <s v="A"/>
    <x v="0"/>
    <x v="0"/>
    <x v="1"/>
    <x v="3"/>
    <n v="15.5"/>
    <n v="10"/>
    <n v="7.75"/>
    <n v="162.75"/>
    <x v="28"/>
    <x v="60"/>
    <x v="0"/>
    <n v="155"/>
    <n v="4.7619047620000003"/>
    <x v="181"/>
    <n v="8"/>
  </r>
  <r>
    <x v="183"/>
    <s v="C"/>
    <x v="1"/>
    <x v="1"/>
    <x v="1"/>
    <x v="0"/>
    <n v="34.31"/>
    <n v="8"/>
    <n v="13.724"/>
    <n v="288.20400000000001"/>
    <x v="25"/>
    <x v="160"/>
    <x v="0"/>
    <n v="274.48"/>
    <n v="4.7619047620000003"/>
    <x v="182"/>
    <n v="5.7"/>
  </r>
  <r>
    <x v="184"/>
    <s v="A"/>
    <x v="0"/>
    <x v="1"/>
    <x v="0"/>
    <x v="3"/>
    <n v="12.34"/>
    <n v="7"/>
    <n v="4.319"/>
    <n v="90.698999999999998"/>
    <x v="31"/>
    <x v="161"/>
    <x v="2"/>
    <n v="86.38"/>
    <n v="4.7619047620000003"/>
    <x v="183"/>
    <n v="6.7"/>
  </r>
  <r>
    <x v="185"/>
    <s v="B"/>
    <x v="2"/>
    <x v="0"/>
    <x v="1"/>
    <x v="4"/>
    <n v="18.079999999999998"/>
    <n v="3"/>
    <n v="2.7120000000000002"/>
    <n v="56.951999999999998"/>
    <x v="19"/>
    <x v="162"/>
    <x v="0"/>
    <n v="54.24"/>
    <n v="4.7619047620000003"/>
    <x v="184"/>
    <n v="8"/>
  </r>
  <r>
    <x v="186"/>
    <s v="B"/>
    <x v="2"/>
    <x v="0"/>
    <x v="0"/>
    <x v="2"/>
    <n v="94.49"/>
    <n v="8"/>
    <n v="37.795999999999999"/>
    <n v="793.71600000000001"/>
    <x v="2"/>
    <x v="163"/>
    <x v="0"/>
    <n v="755.92"/>
    <n v="4.7619047620000003"/>
    <x v="185"/>
    <n v="7.5"/>
  </r>
  <r>
    <x v="187"/>
    <s v="B"/>
    <x v="2"/>
    <x v="0"/>
    <x v="1"/>
    <x v="2"/>
    <n v="46.47"/>
    <n v="4"/>
    <n v="9.2940000000000005"/>
    <n v="195.17400000000001"/>
    <x v="4"/>
    <x v="164"/>
    <x v="1"/>
    <n v="185.88"/>
    <n v="4.7619047620000003"/>
    <x v="186"/>
    <n v="7"/>
  </r>
  <r>
    <x v="188"/>
    <s v="A"/>
    <x v="0"/>
    <x v="1"/>
    <x v="1"/>
    <x v="2"/>
    <n v="74.069999999999993"/>
    <n v="1"/>
    <n v="3.7035"/>
    <n v="77.773499999999999"/>
    <x v="34"/>
    <x v="165"/>
    <x v="0"/>
    <n v="74.069999999999993"/>
    <n v="4.7619047620000003"/>
    <x v="187"/>
    <n v="9.9"/>
  </r>
  <r>
    <x v="189"/>
    <s v="C"/>
    <x v="1"/>
    <x v="1"/>
    <x v="0"/>
    <x v="2"/>
    <n v="69.81"/>
    <n v="4"/>
    <n v="13.962"/>
    <n v="293.202"/>
    <x v="26"/>
    <x v="166"/>
    <x v="2"/>
    <n v="279.24"/>
    <n v="4.7619047620000003"/>
    <x v="188"/>
    <n v="5.9"/>
  </r>
  <r>
    <x v="190"/>
    <s v="B"/>
    <x v="2"/>
    <x v="1"/>
    <x v="0"/>
    <x v="2"/>
    <n v="77.040000000000006"/>
    <n v="3"/>
    <n v="11.555999999999999"/>
    <n v="242.67599999999999"/>
    <x v="48"/>
    <x v="17"/>
    <x v="2"/>
    <n v="231.12"/>
    <n v="4.7619047620000003"/>
    <x v="189"/>
    <n v="7.2"/>
  </r>
  <r>
    <x v="191"/>
    <s v="B"/>
    <x v="2"/>
    <x v="1"/>
    <x v="0"/>
    <x v="5"/>
    <n v="73.52"/>
    <n v="2"/>
    <n v="7.3520000000000003"/>
    <n v="154.392"/>
    <x v="15"/>
    <x v="167"/>
    <x v="0"/>
    <n v="147.04"/>
    <n v="4.7619047620000003"/>
    <x v="190"/>
    <n v="4.5999999999999996"/>
  </r>
  <r>
    <x v="192"/>
    <s v="C"/>
    <x v="1"/>
    <x v="1"/>
    <x v="0"/>
    <x v="4"/>
    <n v="87.8"/>
    <n v="9"/>
    <n v="39.51"/>
    <n v="829.71"/>
    <x v="32"/>
    <x v="168"/>
    <x v="1"/>
    <n v="790.2"/>
    <n v="4.7619047620000003"/>
    <x v="191"/>
    <n v="9.1999999999999993"/>
  </r>
  <r>
    <x v="193"/>
    <s v="B"/>
    <x v="2"/>
    <x v="1"/>
    <x v="1"/>
    <x v="2"/>
    <n v="25.55"/>
    <n v="4"/>
    <n v="5.1100000000000003"/>
    <n v="107.31"/>
    <x v="53"/>
    <x v="169"/>
    <x v="0"/>
    <n v="102.2"/>
    <n v="4.7619047620000003"/>
    <x v="192"/>
    <n v="5.7"/>
  </r>
  <r>
    <x v="194"/>
    <s v="A"/>
    <x v="0"/>
    <x v="1"/>
    <x v="1"/>
    <x v="1"/>
    <n v="32.71"/>
    <n v="5"/>
    <n v="8.1775000000000002"/>
    <n v="171.72749999999999"/>
    <x v="35"/>
    <x v="170"/>
    <x v="2"/>
    <n v="163.55000000000001"/>
    <n v="4.7619047620000003"/>
    <x v="193"/>
    <n v="9.9"/>
  </r>
  <r>
    <x v="195"/>
    <s v="C"/>
    <x v="1"/>
    <x v="0"/>
    <x v="0"/>
    <x v="5"/>
    <n v="74.290000000000006"/>
    <n v="1"/>
    <n v="3.7145000000000001"/>
    <n v="78.004499999999993"/>
    <x v="50"/>
    <x v="171"/>
    <x v="1"/>
    <n v="74.290000000000006"/>
    <n v="4.7619047620000003"/>
    <x v="194"/>
    <n v="5"/>
  </r>
  <r>
    <x v="196"/>
    <s v="C"/>
    <x v="1"/>
    <x v="0"/>
    <x v="1"/>
    <x v="0"/>
    <n v="43.7"/>
    <n v="2"/>
    <n v="4.37"/>
    <n v="91.77"/>
    <x v="58"/>
    <x v="172"/>
    <x v="1"/>
    <n v="87.4"/>
    <n v="4.7619047620000003"/>
    <x v="195"/>
    <n v="4.9000000000000004"/>
  </r>
  <r>
    <x v="197"/>
    <s v="A"/>
    <x v="0"/>
    <x v="1"/>
    <x v="0"/>
    <x v="2"/>
    <n v="25.29"/>
    <n v="1"/>
    <n v="1.2645"/>
    <n v="26.554500000000001"/>
    <x v="28"/>
    <x v="173"/>
    <x v="0"/>
    <n v="25.29"/>
    <n v="4.7619047620000003"/>
    <x v="196"/>
    <n v="6.1"/>
  </r>
  <r>
    <x v="198"/>
    <s v="C"/>
    <x v="1"/>
    <x v="1"/>
    <x v="1"/>
    <x v="0"/>
    <n v="41.5"/>
    <n v="4"/>
    <n v="8.3000000000000007"/>
    <n v="174.3"/>
    <x v="41"/>
    <x v="174"/>
    <x v="2"/>
    <n v="166"/>
    <n v="4.7619047620000003"/>
    <x v="197"/>
    <n v="8.1999999999999993"/>
  </r>
  <r>
    <x v="199"/>
    <s v="C"/>
    <x v="1"/>
    <x v="0"/>
    <x v="0"/>
    <x v="4"/>
    <n v="71.39"/>
    <n v="5"/>
    <n v="17.8475"/>
    <n v="374.79750000000001"/>
    <x v="21"/>
    <x v="129"/>
    <x v="2"/>
    <n v="356.95"/>
    <n v="4.7619047620000003"/>
    <x v="198"/>
    <n v="5.5"/>
  </r>
  <r>
    <x v="200"/>
    <s v="C"/>
    <x v="1"/>
    <x v="0"/>
    <x v="0"/>
    <x v="3"/>
    <n v="19.149999999999999"/>
    <n v="6"/>
    <n v="5.7450000000000001"/>
    <n v="120.645"/>
    <x v="71"/>
    <x v="175"/>
    <x v="2"/>
    <n v="114.9"/>
    <n v="4.7619047620000003"/>
    <x v="199"/>
    <n v="6.8"/>
  </r>
  <r>
    <x v="201"/>
    <s v="B"/>
    <x v="2"/>
    <x v="0"/>
    <x v="0"/>
    <x v="1"/>
    <n v="57.49"/>
    <n v="4"/>
    <n v="11.497999999999999"/>
    <n v="241.458"/>
    <x v="20"/>
    <x v="176"/>
    <x v="1"/>
    <n v="229.96"/>
    <n v="4.7619047620000003"/>
    <x v="200"/>
    <n v="6.6"/>
  </r>
  <r>
    <x v="202"/>
    <s v="C"/>
    <x v="1"/>
    <x v="1"/>
    <x v="1"/>
    <x v="1"/>
    <n v="61.41"/>
    <n v="7"/>
    <n v="21.493500000000001"/>
    <n v="451.36349999999999"/>
    <x v="78"/>
    <x v="177"/>
    <x v="1"/>
    <n v="429.87"/>
    <n v="4.7619047620000003"/>
    <x v="201"/>
    <n v="9.8000000000000007"/>
  </r>
  <r>
    <x v="203"/>
    <s v="B"/>
    <x v="2"/>
    <x v="0"/>
    <x v="1"/>
    <x v="0"/>
    <n v="25.9"/>
    <n v="10"/>
    <n v="12.95"/>
    <n v="271.95"/>
    <x v="10"/>
    <x v="178"/>
    <x v="0"/>
    <n v="259"/>
    <n v="4.7619047620000003"/>
    <x v="202"/>
    <n v="8.6999999999999993"/>
  </r>
  <r>
    <x v="204"/>
    <s v="B"/>
    <x v="2"/>
    <x v="0"/>
    <x v="1"/>
    <x v="2"/>
    <n v="17.77"/>
    <n v="5"/>
    <n v="4.4424999999999999"/>
    <n v="93.292500000000004"/>
    <x v="42"/>
    <x v="179"/>
    <x v="2"/>
    <n v="88.85"/>
    <n v="4.7619047620000003"/>
    <x v="203"/>
    <n v="5.4"/>
  </r>
  <r>
    <x v="205"/>
    <s v="A"/>
    <x v="0"/>
    <x v="1"/>
    <x v="0"/>
    <x v="0"/>
    <n v="23.03"/>
    <n v="9"/>
    <n v="10.3635"/>
    <n v="217.6335"/>
    <x v="75"/>
    <x v="110"/>
    <x v="0"/>
    <n v="207.27"/>
    <n v="4.7619047620000003"/>
    <x v="204"/>
    <n v="7.9"/>
  </r>
  <r>
    <x v="206"/>
    <s v="C"/>
    <x v="1"/>
    <x v="0"/>
    <x v="0"/>
    <x v="1"/>
    <n v="66.650000000000006"/>
    <n v="9"/>
    <n v="29.9925"/>
    <n v="629.84249999999997"/>
    <x v="72"/>
    <x v="96"/>
    <x v="2"/>
    <n v="599.85"/>
    <n v="4.7619047620000003"/>
    <x v="205"/>
    <n v="9.6999999999999993"/>
  </r>
  <r>
    <x v="207"/>
    <s v="C"/>
    <x v="1"/>
    <x v="0"/>
    <x v="0"/>
    <x v="2"/>
    <n v="28.53"/>
    <n v="10"/>
    <n v="14.265000000000001"/>
    <n v="299.565"/>
    <x v="79"/>
    <x v="180"/>
    <x v="0"/>
    <n v="285.3"/>
    <n v="4.7619047620000003"/>
    <x v="206"/>
    <n v="7.8"/>
  </r>
  <r>
    <x v="208"/>
    <s v="B"/>
    <x v="2"/>
    <x v="1"/>
    <x v="0"/>
    <x v="5"/>
    <n v="30.37"/>
    <n v="3"/>
    <n v="4.5555000000000003"/>
    <n v="95.665499999999994"/>
    <x v="61"/>
    <x v="167"/>
    <x v="0"/>
    <n v="91.11"/>
    <n v="4.7619047620000003"/>
    <x v="207"/>
    <n v="5.0999999999999996"/>
  </r>
  <r>
    <x v="209"/>
    <s v="B"/>
    <x v="2"/>
    <x v="1"/>
    <x v="0"/>
    <x v="1"/>
    <n v="99.73"/>
    <n v="9"/>
    <n v="44.878500000000003"/>
    <n v="942.44849999999997"/>
    <x v="22"/>
    <x v="144"/>
    <x v="2"/>
    <n v="897.57"/>
    <n v="4.7619047620000003"/>
    <x v="208"/>
    <n v="6.5"/>
  </r>
  <r>
    <x v="210"/>
    <s v="A"/>
    <x v="0"/>
    <x v="1"/>
    <x v="1"/>
    <x v="1"/>
    <n v="26.23"/>
    <n v="9"/>
    <n v="11.8035"/>
    <n v="247.87350000000001"/>
    <x v="25"/>
    <x v="181"/>
    <x v="0"/>
    <n v="236.07"/>
    <n v="4.7619047620000003"/>
    <x v="209"/>
    <n v="5.9"/>
  </r>
  <r>
    <x v="211"/>
    <s v="C"/>
    <x v="1"/>
    <x v="1"/>
    <x v="0"/>
    <x v="4"/>
    <n v="93.26"/>
    <n v="9"/>
    <n v="41.966999999999999"/>
    <n v="881.30700000000002"/>
    <x v="65"/>
    <x v="182"/>
    <x v="1"/>
    <n v="839.34"/>
    <n v="4.7619047620000003"/>
    <x v="210"/>
    <n v="8.8000000000000007"/>
  </r>
  <r>
    <x v="212"/>
    <s v="B"/>
    <x v="2"/>
    <x v="1"/>
    <x v="1"/>
    <x v="2"/>
    <n v="92.36"/>
    <n v="5"/>
    <n v="23.09"/>
    <n v="484.89"/>
    <x v="80"/>
    <x v="151"/>
    <x v="0"/>
    <n v="461.8"/>
    <n v="4.7619047620000003"/>
    <x v="211"/>
    <n v="4.9000000000000004"/>
  </r>
  <r>
    <x v="213"/>
    <s v="B"/>
    <x v="2"/>
    <x v="1"/>
    <x v="1"/>
    <x v="3"/>
    <n v="46.42"/>
    <n v="3"/>
    <n v="6.9630000000000001"/>
    <n v="146.22300000000001"/>
    <x v="72"/>
    <x v="38"/>
    <x v="2"/>
    <n v="139.26"/>
    <n v="4.7619047620000003"/>
    <x v="212"/>
    <n v="4.4000000000000004"/>
  </r>
  <r>
    <x v="214"/>
    <s v="B"/>
    <x v="2"/>
    <x v="0"/>
    <x v="0"/>
    <x v="3"/>
    <n v="29.61"/>
    <n v="7"/>
    <n v="10.3635"/>
    <n v="217.6335"/>
    <x v="16"/>
    <x v="183"/>
    <x v="1"/>
    <n v="207.27"/>
    <n v="4.7619047620000003"/>
    <x v="204"/>
    <n v="6.5"/>
  </r>
  <r>
    <x v="215"/>
    <s v="A"/>
    <x v="0"/>
    <x v="1"/>
    <x v="1"/>
    <x v="2"/>
    <n v="18.28"/>
    <n v="1"/>
    <n v="0.91400000000000003"/>
    <n v="19.193999999999999"/>
    <x v="23"/>
    <x v="184"/>
    <x v="2"/>
    <n v="18.28"/>
    <n v="4.7619047620000003"/>
    <x v="213"/>
    <n v="8.3000000000000007"/>
  </r>
  <r>
    <x v="216"/>
    <s v="B"/>
    <x v="2"/>
    <x v="1"/>
    <x v="0"/>
    <x v="3"/>
    <n v="24.77"/>
    <n v="5"/>
    <n v="6.1924999999999999"/>
    <n v="130.04249999999999"/>
    <x v="62"/>
    <x v="185"/>
    <x v="1"/>
    <n v="123.85"/>
    <n v="4.7619047620000003"/>
    <x v="214"/>
    <n v="8.5"/>
  </r>
  <r>
    <x v="217"/>
    <s v="A"/>
    <x v="0"/>
    <x v="0"/>
    <x v="0"/>
    <x v="1"/>
    <n v="94.64"/>
    <n v="3"/>
    <n v="14.196"/>
    <n v="298.11599999999999"/>
    <x v="81"/>
    <x v="186"/>
    <x v="1"/>
    <n v="283.92"/>
    <n v="4.7619047620000003"/>
    <x v="215"/>
    <n v="5.5"/>
  </r>
  <r>
    <x v="218"/>
    <s v="B"/>
    <x v="2"/>
    <x v="1"/>
    <x v="1"/>
    <x v="5"/>
    <n v="94.87"/>
    <n v="8"/>
    <n v="37.948"/>
    <n v="796.90800000000002"/>
    <x v="12"/>
    <x v="187"/>
    <x v="0"/>
    <n v="758.96"/>
    <n v="4.7619047620000003"/>
    <x v="216"/>
    <n v="8.6999999999999993"/>
  </r>
  <r>
    <x v="219"/>
    <s v="B"/>
    <x v="2"/>
    <x v="1"/>
    <x v="0"/>
    <x v="4"/>
    <n v="57.34"/>
    <n v="3"/>
    <n v="8.6010000000000009"/>
    <n v="180.62100000000001"/>
    <x v="24"/>
    <x v="188"/>
    <x v="2"/>
    <n v="172.02"/>
    <n v="4.7619047620000003"/>
    <x v="217"/>
    <n v="7.9"/>
  </r>
  <r>
    <x v="220"/>
    <s v="B"/>
    <x v="2"/>
    <x v="1"/>
    <x v="1"/>
    <x v="1"/>
    <n v="45.35"/>
    <n v="6"/>
    <n v="13.605"/>
    <n v="285.70499999999998"/>
    <x v="82"/>
    <x v="189"/>
    <x v="0"/>
    <n v="272.10000000000002"/>
    <n v="4.7619047620000003"/>
    <x v="218"/>
    <n v="6.1"/>
  </r>
  <r>
    <x v="221"/>
    <s v="B"/>
    <x v="2"/>
    <x v="1"/>
    <x v="1"/>
    <x v="4"/>
    <n v="62.08"/>
    <n v="7"/>
    <n v="21.728000000000002"/>
    <n v="456.28800000000001"/>
    <x v="43"/>
    <x v="190"/>
    <x v="0"/>
    <n v="434.56"/>
    <n v="4.7619047620000003"/>
    <x v="219"/>
    <n v="5.4"/>
  </r>
  <r>
    <x v="222"/>
    <s v="C"/>
    <x v="1"/>
    <x v="1"/>
    <x v="1"/>
    <x v="1"/>
    <n v="11.81"/>
    <n v="5"/>
    <n v="2.9525000000000001"/>
    <n v="62.002499999999998"/>
    <x v="21"/>
    <x v="191"/>
    <x v="1"/>
    <n v="59.05"/>
    <n v="4.7619047620000003"/>
    <x v="220"/>
    <n v="9.4"/>
  </r>
  <r>
    <x v="223"/>
    <s v="C"/>
    <x v="1"/>
    <x v="0"/>
    <x v="0"/>
    <x v="5"/>
    <n v="12.54"/>
    <n v="1"/>
    <n v="0.627"/>
    <n v="13.167"/>
    <x v="81"/>
    <x v="192"/>
    <x v="1"/>
    <n v="12.54"/>
    <n v="4.7619047620000003"/>
    <x v="221"/>
    <n v="8.1999999999999993"/>
  </r>
  <r>
    <x v="224"/>
    <s v="A"/>
    <x v="0"/>
    <x v="1"/>
    <x v="1"/>
    <x v="4"/>
    <n v="43.25"/>
    <n v="2"/>
    <n v="4.3250000000000002"/>
    <n v="90.825000000000003"/>
    <x v="80"/>
    <x v="193"/>
    <x v="1"/>
    <n v="86.5"/>
    <n v="4.7619047620000003"/>
    <x v="222"/>
    <n v="6.2"/>
  </r>
  <r>
    <x v="225"/>
    <s v="C"/>
    <x v="1"/>
    <x v="0"/>
    <x v="0"/>
    <x v="3"/>
    <n v="87.16"/>
    <n v="2"/>
    <n v="8.7159999999999993"/>
    <n v="183.036"/>
    <x v="83"/>
    <x v="194"/>
    <x v="2"/>
    <n v="174.32"/>
    <n v="4.7619047620000003"/>
    <x v="223"/>
    <n v="9.6999999999999993"/>
  </r>
  <r>
    <x v="226"/>
    <s v="B"/>
    <x v="2"/>
    <x v="0"/>
    <x v="1"/>
    <x v="0"/>
    <n v="69.37"/>
    <n v="9"/>
    <n v="31.2165"/>
    <n v="655.54650000000004"/>
    <x v="53"/>
    <x v="195"/>
    <x v="0"/>
    <n v="624.33000000000004"/>
    <n v="4.7619047620000003"/>
    <x v="224"/>
    <n v="4"/>
  </r>
  <r>
    <x v="227"/>
    <s v="C"/>
    <x v="1"/>
    <x v="0"/>
    <x v="1"/>
    <x v="1"/>
    <n v="37.06"/>
    <n v="4"/>
    <n v="7.4119999999999999"/>
    <n v="155.65199999999999"/>
    <x v="82"/>
    <x v="75"/>
    <x v="0"/>
    <n v="148.24"/>
    <n v="4.7619047620000003"/>
    <x v="225"/>
    <n v="9.6999999999999993"/>
  </r>
  <r>
    <x v="228"/>
    <s v="B"/>
    <x v="2"/>
    <x v="0"/>
    <x v="0"/>
    <x v="1"/>
    <n v="90.7"/>
    <n v="6"/>
    <n v="27.21"/>
    <n v="571.41"/>
    <x v="84"/>
    <x v="196"/>
    <x v="1"/>
    <n v="544.20000000000005"/>
    <n v="4.7619047620000003"/>
    <x v="226"/>
    <n v="5.3"/>
  </r>
  <r>
    <x v="229"/>
    <s v="A"/>
    <x v="0"/>
    <x v="1"/>
    <x v="0"/>
    <x v="2"/>
    <n v="63.42"/>
    <n v="8"/>
    <n v="25.367999999999999"/>
    <n v="532.72799999999995"/>
    <x v="16"/>
    <x v="197"/>
    <x v="0"/>
    <n v="507.36"/>
    <n v="4.7619047620000003"/>
    <x v="227"/>
    <n v="7.4"/>
  </r>
  <r>
    <x v="230"/>
    <s v="B"/>
    <x v="2"/>
    <x v="1"/>
    <x v="0"/>
    <x v="5"/>
    <n v="81.37"/>
    <n v="2"/>
    <n v="8.1370000000000005"/>
    <n v="170.87700000000001"/>
    <x v="53"/>
    <x v="198"/>
    <x v="1"/>
    <n v="162.74"/>
    <n v="4.7619047620000003"/>
    <x v="228"/>
    <n v="6.5"/>
  </r>
  <r>
    <x v="231"/>
    <s v="B"/>
    <x v="2"/>
    <x v="0"/>
    <x v="0"/>
    <x v="1"/>
    <n v="10.59"/>
    <n v="3"/>
    <n v="1.5885"/>
    <n v="33.358499999999999"/>
    <x v="41"/>
    <x v="199"/>
    <x v="2"/>
    <n v="31.77"/>
    <n v="4.7619047620000003"/>
    <x v="229"/>
    <n v="8.6999999999999993"/>
  </r>
  <r>
    <x v="232"/>
    <s v="B"/>
    <x v="2"/>
    <x v="1"/>
    <x v="0"/>
    <x v="0"/>
    <n v="84.09"/>
    <n v="9"/>
    <n v="37.840499999999999"/>
    <n v="794.65049999999997"/>
    <x v="48"/>
    <x v="200"/>
    <x v="1"/>
    <n v="756.81"/>
    <n v="4.7619047620000003"/>
    <x v="230"/>
    <n v="8"/>
  </r>
  <r>
    <x v="233"/>
    <s v="B"/>
    <x v="2"/>
    <x v="0"/>
    <x v="1"/>
    <x v="5"/>
    <n v="73.819999999999993"/>
    <n v="4"/>
    <n v="14.763999999999999"/>
    <n v="310.04399999999998"/>
    <x v="81"/>
    <x v="201"/>
    <x v="1"/>
    <n v="295.27999999999997"/>
    <n v="4.7619047620000003"/>
    <x v="231"/>
    <n v="6.7"/>
  </r>
  <r>
    <x v="234"/>
    <s v="A"/>
    <x v="0"/>
    <x v="0"/>
    <x v="1"/>
    <x v="0"/>
    <n v="51.94"/>
    <n v="10"/>
    <n v="25.97"/>
    <n v="545.37"/>
    <x v="11"/>
    <x v="202"/>
    <x v="0"/>
    <n v="519.4"/>
    <n v="4.7619047620000003"/>
    <x v="232"/>
    <n v="6.5"/>
  </r>
  <r>
    <x v="235"/>
    <s v="A"/>
    <x v="0"/>
    <x v="1"/>
    <x v="0"/>
    <x v="3"/>
    <n v="93.14"/>
    <n v="2"/>
    <n v="9.3140000000000001"/>
    <n v="195.59399999999999"/>
    <x v="40"/>
    <x v="203"/>
    <x v="0"/>
    <n v="186.28"/>
    <n v="4.7619047620000003"/>
    <x v="233"/>
    <n v="4.0999999999999996"/>
  </r>
  <r>
    <x v="236"/>
    <s v="C"/>
    <x v="1"/>
    <x v="1"/>
    <x v="1"/>
    <x v="0"/>
    <n v="17.41"/>
    <n v="5"/>
    <n v="4.3525"/>
    <n v="91.402500000000003"/>
    <x v="26"/>
    <x v="204"/>
    <x v="2"/>
    <n v="87.05"/>
    <n v="4.7619047620000003"/>
    <x v="234"/>
    <n v="4.9000000000000004"/>
  </r>
  <r>
    <x v="237"/>
    <s v="C"/>
    <x v="1"/>
    <x v="0"/>
    <x v="0"/>
    <x v="5"/>
    <n v="44.22"/>
    <n v="5"/>
    <n v="11.055"/>
    <n v="232.155"/>
    <x v="19"/>
    <x v="205"/>
    <x v="2"/>
    <n v="221.1"/>
    <n v="4.7619047620000003"/>
    <x v="235"/>
    <n v="8.6"/>
  </r>
  <r>
    <x v="238"/>
    <s v="B"/>
    <x v="2"/>
    <x v="0"/>
    <x v="0"/>
    <x v="1"/>
    <n v="13.22"/>
    <n v="5"/>
    <n v="3.3050000000000002"/>
    <n v="69.405000000000001"/>
    <x v="22"/>
    <x v="206"/>
    <x v="1"/>
    <n v="66.099999999999994"/>
    <n v="4.7619047620000003"/>
    <x v="236"/>
    <n v="4.3"/>
  </r>
  <r>
    <x v="239"/>
    <s v="A"/>
    <x v="0"/>
    <x v="1"/>
    <x v="1"/>
    <x v="5"/>
    <n v="89.69"/>
    <n v="1"/>
    <n v="4.4844999999999997"/>
    <n v="94.174499999999995"/>
    <x v="83"/>
    <x v="207"/>
    <x v="0"/>
    <n v="89.69"/>
    <n v="4.7619047620000003"/>
    <x v="237"/>
    <n v="4.9000000000000004"/>
  </r>
  <r>
    <x v="240"/>
    <s v="A"/>
    <x v="0"/>
    <x v="1"/>
    <x v="1"/>
    <x v="4"/>
    <n v="24.94"/>
    <n v="9"/>
    <n v="11.223000000000001"/>
    <n v="235.68299999999999"/>
    <x v="83"/>
    <x v="208"/>
    <x v="2"/>
    <n v="224.46"/>
    <n v="4.7619047620000003"/>
    <x v="238"/>
    <n v="5.6"/>
  </r>
  <r>
    <x v="241"/>
    <s v="A"/>
    <x v="0"/>
    <x v="1"/>
    <x v="1"/>
    <x v="0"/>
    <n v="59.77"/>
    <n v="2"/>
    <n v="5.9770000000000003"/>
    <n v="125.517"/>
    <x v="16"/>
    <x v="209"/>
    <x v="2"/>
    <n v="119.54"/>
    <n v="4.7619047620000003"/>
    <x v="239"/>
    <n v="5.8"/>
  </r>
  <r>
    <x v="242"/>
    <s v="C"/>
    <x v="1"/>
    <x v="0"/>
    <x v="1"/>
    <x v="5"/>
    <n v="93.2"/>
    <n v="2"/>
    <n v="9.32"/>
    <n v="195.72"/>
    <x v="38"/>
    <x v="78"/>
    <x v="2"/>
    <n v="186.4"/>
    <n v="4.7619047620000003"/>
    <x v="240"/>
    <n v="6"/>
  </r>
  <r>
    <x v="243"/>
    <s v="A"/>
    <x v="0"/>
    <x v="0"/>
    <x v="1"/>
    <x v="2"/>
    <n v="62.65"/>
    <n v="4"/>
    <n v="12.53"/>
    <n v="263.13"/>
    <x v="0"/>
    <x v="210"/>
    <x v="1"/>
    <n v="250.6"/>
    <n v="4.7619047620000003"/>
    <x v="241"/>
    <n v="4.2"/>
  </r>
  <r>
    <x v="244"/>
    <s v="B"/>
    <x v="2"/>
    <x v="1"/>
    <x v="1"/>
    <x v="2"/>
    <n v="93.87"/>
    <n v="8"/>
    <n v="37.548000000000002"/>
    <n v="788.50800000000004"/>
    <x v="30"/>
    <x v="211"/>
    <x v="2"/>
    <n v="750.96"/>
    <n v="4.7619047620000003"/>
    <x v="242"/>
    <n v="8.3000000000000007"/>
  </r>
  <r>
    <x v="245"/>
    <s v="A"/>
    <x v="0"/>
    <x v="0"/>
    <x v="1"/>
    <x v="2"/>
    <n v="47.59"/>
    <n v="8"/>
    <n v="19.036000000000001"/>
    <n v="399.75599999999997"/>
    <x v="17"/>
    <x v="212"/>
    <x v="1"/>
    <n v="380.72"/>
    <n v="4.7619047620000003"/>
    <x v="243"/>
    <n v="5.7"/>
  </r>
  <r>
    <x v="246"/>
    <s v="B"/>
    <x v="2"/>
    <x v="0"/>
    <x v="0"/>
    <x v="1"/>
    <n v="81.400000000000006"/>
    <n v="3"/>
    <n v="12.21"/>
    <n v="256.41000000000003"/>
    <x v="57"/>
    <x v="213"/>
    <x v="1"/>
    <n v="244.2"/>
    <n v="4.7619047620000003"/>
    <x v="244"/>
    <n v="4.8"/>
  </r>
  <r>
    <x v="247"/>
    <s v="A"/>
    <x v="0"/>
    <x v="0"/>
    <x v="1"/>
    <x v="5"/>
    <n v="17.940000000000001"/>
    <n v="5"/>
    <n v="4.4850000000000003"/>
    <n v="94.185000000000002"/>
    <x v="54"/>
    <x v="214"/>
    <x v="0"/>
    <n v="89.7"/>
    <n v="4.7619047620000003"/>
    <x v="245"/>
    <n v="6.8"/>
  </r>
  <r>
    <x v="248"/>
    <s v="A"/>
    <x v="0"/>
    <x v="0"/>
    <x v="1"/>
    <x v="1"/>
    <n v="77.72"/>
    <n v="4"/>
    <n v="15.544"/>
    <n v="326.42399999999998"/>
    <x v="27"/>
    <x v="215"/>
    <x v="2"/>
    <n v="310.88"/>
    <n v="4.7619047620000003"/>
    <x v="246"/>
    <n v="8.8000000000000007"/>
  </r>
  <r>
    <x v="249"/>
    <s v="B"/>
    <x v="2"/>
    <x v="1"/>
    <x v="1"/>
    <x v="4"/>
    <n v="73.06"/>
    <n v="7"/>
    <n v="25.571000000000002"/>
    <n v="536.99099999999999"/>
    <x v="78"/>
    <x v="216"/>
    <x v="2"/>
    <n v="511.42"/>
    <n v="4.7619047620000003"/>
    <x v="247"/>
    <n v="4.2"/>
  </r>
  <r>
    <x v="250"/>
    <s v="B"/>
    <x v="2"/>
    <x v="0"/>
    <x v="1"/>
    <x v="4"/>
    <n v="46.55"/>
    <n v="9"/>
    <n v="20.947500000000002"/>
    <n v="439.89749999999998"/>
    <x v="30"/>
    <x v="217"/>
    <x v="0"/>
    <n v="418.95"/>
    <n v="4.7619047620000003"/>
    <x v="248"/>
    <n v="6.4"/>
  </r>
  <r>
    <x v="251"/>
    <s v="C"/>
    <x v="1"/>
    <x v="0"/>
    <x v="1"/>
    <x v="5"/>
    <n v="35.19"/>
    <n v="10"/>
    <n v="17.594999999999999"/>
    <n v="369.495"/>
    <x v="85"/>
    <x v="216"/>
    <x v="2"/>
    <n v="351.9"/>
    <n v="4.7619047620000003"/>
    <x v="249"/>
    <n v="8.4"/>
  </r>
  <r>
    <x v="252"/>
    <s v="C"/>
    <x v="1"/>
    <x v="1"/>
    <x v="0"/>
    <x v="3"/>
    <n v="14.39"/>
    <n v="2"/>
    <n v="1.4390000000000001"/>
    <n v="30.219000000000001"/>
    <x v="22"/>
    <x v="143"/>
    <x v="2"/>
    <n v="28.78"/>
    <n v="4.7619047620000003"/>
    <x v="250"/>
    <n v="7.2"/>
  </r>
  <r>
    <x v="253"/>
    <s v="A"/>
    <x v="0"/>
    <x v="1"/>
    <x v="1"/>
    <x v="2"/>
    <n v="23.75"/>
    <n v="4"/>
    <n v="4.75"/>
    <n v="99.75"/>
    <x v="32"/>
    <x v="218"/>
    <x v="1"/>
    <n v="95"/>
    <n v="4.7619047620000003"/>
    <x v="251"/>
    <n v="5.2"/>
  </r>
  <r>
    <x v="254"/>
    <s v="A"/>
    <x v="0"/>
    <x v="0"/>
    <x v="1"/>
    <x v="2"/>
    <n v="58.9"/>
    <n v="8"/>
    <n v="23.56"/>
    <n v="494.76"/>
    <x v="47"/>
    <x v="219"/>
    <x v="1"/>
    <n v="471.2"/>
    <n v="4.7619047620000003"/>
    <x v="252"/>
    <n v="8.9"/>
  </r>
  <r>
    <x v="255"/>
    <s v="B"/>
    <x v="2"/>
    <x v="0"/>
    <x v="1"/>
    <x v="5"/>
    <n v="32.619999999999997"/>
    <n v="4"/>
    <n v="6.524"/>
    <n v="137.00399999999999"/>
    <x v="71"/>
    <x v="146"/>
    <x v="1"/>
    <n v="130.47999999999999"/>
    <n v="4.7619047620000003"/>
    <x v="253"/>
    <n v="9"/>
  </r>
  <r>
    <x v="256"/>
    <s v="A"/>
    <x v="0"/>
    <x v="0"/>
    <x v="1"/>
    <x v="1"/>
    <n v="66.349999999999994"/>
    <n v="1"/>
    <n v="3.3174999999999999"/>
    <n v="69.667500000000004"/>
    <x v="82"/>
    <x v="220"/>
    <x v="2"/>
    <n v="66.349999999999994"/>
    <n v="4.7619047620000003"/>
    <x v="254"/>
    <n v="9.6999999999999993"/>
  </r>
  <r>
    <x v="257"/>
    <s v="A"/>
    <x v="0"/>
    <x v="0"/>
    <x v="1"/>
    <x v="2"/>
    <n v="25.91"/>
    <n v="6"/>
    <n v="7.7729999999999997"/>
    <n v="163.233"/>
    <x v="63"/>
    <x v="91"/>
    <x v="0"/>
    <n v="155.46"/>
    <n v="4.7619047620000003"/>
    <x v="255"/>
    <n v="8.6999999999999993"/>
  </r>
  <r>
    <x v="258"/>
    <s v="A"/>
    <x v="0"/>
    <x v="0"/>
    <x v="1"/>
    <x v="1"/>
    <n v="32.25"/>
    <n v="4"/>
    <n v="6.45"/>
    <n v="135.44999999999999"/>
    <x v="77"/>
    <x v="192"/>
    <x v="0"/>
    <n v="129"/>
    <n v="4.7619047620000003"/>
    <x v="256"/>
    <n v="6.5"/>
  </r>
  <r>
    <x v="259"/>
    <s v="C"/>
    <x v="1"/>
    <x v="0"/>
    <x v="1"/>
    <x v="1"/>
    <n v="65.94"/>
    <n v="4"/>
    <n v="13.188000000000001"/>
    <n v="276.94799999999998"/>
    <x v="13"/>
    <x v="137"/>
    <x v="2"/>
    <n v="263.76"/>
    <n v="4.7619047620000003"/>
    <x v="257"/>
    <n v="6.9"/>
  </r>
  <r>
    <x v="260"/>
    <s v="A"/>
    <x v="0"/>
    <x v="1"/>
    <x v="0"/>
    <x v="1"/>
    <n v="75.06"/>
    <n v="9"/>
    <n v="33.777000000000001"/>
    <n v="709.31700000000001"/>
    <x v="35"/>
    <x v="221"/>
    <x v="0"/>
    <n v="675.54"/>
    <n v="4.7619047620000003"/>
    <x v="258"/>
    <n v="6.2"/>
  </r>
  <r>
    <x v="261"/>
    <s v="C"/>
    <x v="1"/>
    <x v="1"/>
    <x v="0"/>
    <x v="5"/>
    <n v="16.45"/>
    <n v="4"/>
    <n v="3.29"/>
    <n v="69.09"/>
    <x v="37"/>
    <x v="222"/>
    <x v="0"/>
    <n v="65.8"/>
    <n v="4.7619047620000003"/>
    <x v="259"/>
    <n v="5.6"/>
  </r>
  <r>
    <x v="262"/>
    <s v="B"/>
    <x v="2"/>
    <x v="0"/>
    <x v="0"/>
    <x v="5"/>
    <n v="38.299999999999997"/>
    <n v="4"/>
    <n v="7.66"/>
    <n v="160.86000000000001"/>
    <x v="45"/>
    <x v="223"/>
    <x v="1"/>
    <n v="153.19999999999999"/>
    <n v="4.7619047620000003"/>
    <x v="260"/>
    <n v="5.7"/>
  </r>
  <r>
    <x v="263"/>
    <s v="A"/>
    <x v="0"/>
    <x v="0"/>
    <x v="0"/>
    <x v="3"/>
    <n v="22.24"/>
    <n v="10"/>
    <n v="11.12"/>
    <n v="233.52"/>
    <x v="57"/>
    <x v="224"/>
    <x v="1"/>
    <n v="222.4"/>
    <n v="4.7619047620000003"/>
    <x v="261"/>
    <n v="4.2"/>
  </r>
  <r>
    <x v="264"/>
    <s v="B"/>
    <x v="2"/>
    <x v="1"/>
    <x v="1"/>
    <x v="3"/>
    <n v="54.45"/>
    <n v="1"/>
    <n v="2.7225000000000001"/>
    <n v="57.172499999999999"/>
    <x v="84"/>
    <x v="225"/>
    <x v="0"/>
    <n v="54.45"/>
    <n v="4.7619047620000003"/>
    <x v="262"/>
    <n v="7.9"/>
  </r>
  <r>
    <x v="265"/>
    <s v="A"/>
    <x v="0"/>
    <x v="0"/>
    <x v="0"/>
    <x v="3"/>
    <n v="98.4"/>
    <n v="7"/>
    <n v="34.44"/>
    <n v="723.24"/>
    <x v="41"/>
    <x v="31"/>
    <x v="2"/>
    <n v="688.8"/>
    <n v="4.7619047620000003"/>
    <x v="263"/>
    <n v="8.6999999999999993"/>
  </r>
  <r>
    <x v="266"/>
    <s v="C"/>
    <x v="1"/>
    <x v="1"/>
    <x v="1"/>
    <x v="2"/>
    <n v="35.47"/>
    <n v="4"/>
    <n v="7.0940000000000003"/>
    <n v="148.97399999999999"/>
    <x v="86"/>
    <x v="226"/>
    <x v="2"/>
    <n v="141.88"/>
    <n v="4.7619047620000003"/>
    <x v="264"/>
    <n v="6.9"/>
  </r>
  <r>
    <x v="267"/>
    <s v="B"/>
    <x v="2"/>
    <x v="0"/>
    <x v="0"/>
    <x v="4"/>
    <n v="74.599999999999994"/>
    <n v="10"/>
    <n v="37.299999999999997"/>
    <n v="783.3"/>
    <x v="66"/>
    <x v="227"/>
    <x v="1"/>
    <n v="746"/>
    <n v="4.7619047620000003"/>
    <x v="265"/>
    <n v="9.5"/>
  </r>
  <r>
    <x v="268"/>
    <s v="A"/>
    <x v="0"/>
    <x v="0"/>
    <x v="1"/>
    <x v="2"/>
    <n v="70.739999999999995"/>
    <n v="4"/>
    <n v="14.148"/>
    <n v="297.108"/>
    <x v="0"/>
    <x v="228"/>
    <x v="2"/>
    <n v="282.95999999999998"/>
    <n v="4.7619047620000003"/>
    <x v="266"/>
    <n v="4.4000000000000004"/>
  </r>
  <r>
    <x v="269"/>
    <s v="A"/>
    <x v="0"/>
    <x v="0"/>
    <x v="0"/>
    <x v="2"/>
    <n v="35.54"/>
    <n v="10"/>
    <n v="17.77"/>
    <n v="373.17"/>
    <x v="72"/>
    <x v="229"/>
    <x v="0"/>
    <n v="355.4"/>
    <n v="4.7619047620000003"/>
    <x v="267"/>
    <n v="7"/>
  </r>
  <r>
    <x v="270"/>
    <s v="B"/>
    <x v="2"/>
    <x v="1"/>
    <x v="0"/>
    <x v="3"/>
    <n v="67.430000000000007"/>
    <n v="5"/>
    <n v="16.857500000000002"/>
    <n v="354.00749999999999"/>
    <x v="43"/>
    <x v="230"/>
    <x v="0"/>
    <n v="337.15"/>
    <n v="4.7619047620000003"/>
    <x v="268"/>
    <n v="6.3"/>
  </r>
  <r>
    <x v="271"/>
    <s v="C"/>
    <x v="1"/>
    <x v="0"/>
    <x v="0"/>
    <x v="0"/>
    <n v="21.12"/>
    <n v="2"/>
    <n v="2.1120000000000001"/>
    <n v="44.351999999999997"/>
    <x v="75"/>
    <x v="151"/>
    <x v="1"/>
    <n v="42.24"/>
    <n v="4.7619047620000003"/>
    <x v="269"/>
    <n v="9.6999999999999993"/>
  </r>
  <r>
    <x v="272"/>
    <s v="A"/>
    <x v="0"/>
    <x v="0"/>
    <x v="0"/>
    <x v="2"/>
    <n v="21.54"/>
    <n v="9"/>
    <n v="9.6929999999999996"/>
    <n v="203.553"/>
    <x v="27"/>
    <x v="231"/>
    <x v="2"/>
    <n v="193.86"/>
    <n v="4.7619047620000003"/>
    <x v="270"/>
    <n v="8.8000000000000007"/>
  </r>
  <r>
    <x v="273"/>
    <s v="A"/>
    <x v="0"/>
    <x v="1"/>
    <x v="0"/>
    <x v="2"/>
    <n v="12.03"/>
    <n v="2"/>
    <n v="1.2030000000000001"/>
    <n v="25.263000000000002"/>
    <x v="3"/>
    <x v="232"/>
    <x v="1"/>
    <n v="24.06"/>
    <n v="4.7619047620000003"/>
    <x v="271"/>
    <n v="5.0999999999999996"/>
  </r>
  <r>
    <x v="274"/>
    <s v="B"/>
    <x v="2"/>
    <x v="1"/>
    <x v="0"/>
    <x v="0"/>
    <n v="99.71"/>
    <n v="6"/>
    <n v="29.913"/>
    <n v="628.173"/>
    <x v="84"/>
    <x v="233"/>
    <x v="0"/>
    <n v="598.26"/>
    <n v="4.7619047620000003"/>
    <x v="272"/>
    <n v="7.9"/>
  </r>
  <r>
    <x v="275"/>
    <s v="B"/>
    <x v="2"/>
    <x v="1"/>
    <x v="1"/>
    <x v="5"/>
    <n v="47.97"/>
    <n v="7"/>
    <n v="16.7895"/>
    <n v="352.5795"/>
    <x v="27"/>
    <x v="234"/>
    <x v="1"/>
    <n v="335.79"/>
    <n v="4.7619047620000003"/>
    <x v="273"/>
    <n v="6.2"/>
  </r>
  <r>
    <x v="276"/>
    <s v="C"/>
    <x v="1"/>
    <x v="0"/>
    <x v="0"/>
    <x v="2"/>
    <n v="21.82"/>
    <n v="10"/>
    <n v="10.91"/>
    <n v="229.11"/>
    <x v="27"/>
    <x v="24"/>
    <x v="1"/>
    <n v="218.2"/>
    <n v="4.7619047620000003"/>
    <x v="274"/>
    <n v="7.1"/>
  </r>
  <r>
    <x v="277"/>
    <s v="C"/>
    <x v="1"/>
    <x v="1"/>
    <x v="0"/>
    <x v="5"/>
    <n v="95.42"/>
    <n v="4"/>
    <n v="19.084"/>
    <n v="400.76400000000001"/>
    <x v="30"/>
    <x v="2"/>
    <x v="0"/>
    <n v="381.68"/>
    <n v="4.7619047620000003"/>
    <x v="275"/>
    <n v="6.4"/>
  </r>
  <r>
    <x v="278"/>
    <s v="C"/>
    <x v="1"/>
    <x v="0"/>
    <x v="1"/>
    <x v="5"/>
    <n v="70.989999999999995"/>
    <n v="10"/>
    <n v="35.494999999999997"/>
    <n v="745.39499999999998"/>
    <x v="80"/>
    <x v="235"/>
    <x v="1"/>
    <n v="709.9"/>
    <n v="4.7619047620000003"/>
    <x v="276"/>
    <n v="5.7"/>
  </r>
  <r>
    <x v="279"/>
    <s v="A"/>
    <x v="0"/>
    <x v="0"/>
    <x v="1"/>
    <x v="3"/>
    <n v="44.02"/>
    <n v="10"/>
    <n v="22.01"/>
    <n v="462.21"/>
    <x v="80"/>
    <x v="129"/>
    <x v="2"/>
    <n v="440.2"/>
    <n v="4.7619047620000003"/>
    <x v="277"/>
    <n v="9.6"/>
  </r>
  <r>
    <x v="280"/>
    <s v="A"/>
    <x v="0"/>
    <x v="1"/>
    <x v="0"/>
    <x v="2"/>
    <n v="69.959999999999994"/>
    <n v="8"/>
    <n v="27.984000000000002"/>
    <n v="587.66399999999999"/>
    <x v="42"/>
    <x v="154"/>
    <x v="2"/>
    <n v="559.67999999999995"/>
    <n v="4.7619047620000003"/>
    <x v="278"/>
    <n v="6.4"/>
  </r>
  <r>
    <x v="281"/>
    <s v="C"/>
    <x v="1"/>
    <x v="1"/>
    <x v="1"/>
    <x v="2"/>
    <n v="37"/>
    <n v="1"/>
    <n v="1.85"/>
    <n v="38.85"/>
    <x v="43"/>
    <x v="236"/>
    <x v="2"/>
    <n v="37"/>
    <n v="4.7619047620000003"/>
    <x v="279"/>
    <n v="7.9"/>
  </r>
  <r>
    <x v="282"/>
    <s v="A"/>
    <x v="0"/>
    <x v="1"/>
    <x v="0"/>
    <x v="3"/>
    <n v="15.34"/>
    <n v="1"/>
    <n v="0.76700000000000002"/>
    <n v="16.106999999999999"/>
    <x v="47"/>
    <x v="237"/>
    <x v="1"/>
    <n v="15.34"/>
    <n v="4.7619047620000003"/>
    <x v="280"/>
    <n v="6.5"/>
  </r>
  <r>
    <x v="283"/>
    <s v="A"/>
    <x v="0"/>
    <x v="0"/>
    <x v="1"/>
    <x v="0"/>
    <n v="99.83"/>
    <n v="6"/>
    <n v="29.949000000000002"/>
    <n v="628.92899999999997"/>
    <x v="31"/>
    <x v="238"/>
    <x v="0"/>
    <n v="598.98"/>
    <n v="4.7619047620000003"/>
    <x v="281"/>
    <n v="8.5"/>
  </r>
  <r>
    <x v="284"/>
    <s v="A"/>
    <x v="0"/>
    <x v="0"/>
    <x v="0"/>
    <x v="0"/>
    <n v="47.67"/>
    <n v="4"/>
    <n v="9.5340000000000007"/>
    <n v="200.214"/>
    <x v="41"/>
    <x v="239"/>
    <x v="1"/>
    <n v="190.68"/>
    <n v="4.7619047620000003"/>
    <x v="282"/>
    <n v="9.1"/>
  </r>
  <r>
    <x v="285"/>
    <s v="B"/>
    <x v="2"/>
    <x v="1"/>
    <x v="1"/>
    <x v="0"/>
    <n v="66.680000000000007"/>
    <n v="5"/>
    <n v="16.670000000000002"/>
    <n v="350.07"/>
    <x v="9"/>
    <x v="240"/>
    <x v="1"/>
    <n v="333.4"/>
    <n v="4.7619047620000003"/>
    <x v="283"/>
    <n v="7.6"/>
  </r>
  <r>
    <x v="286"/>
    <s v="C"/>
    <x v="1"/>
    <x v="0"/>
    <x v="1"/>
    <x v="2"/>
    <n v="74.86"/>
    <n v="1"/>
    <n v="3.7429999999999999"/>
    <n v="78.602999999999994"/>
    <x v="62"/>
    <x v="32"/>
    <x v="1"/>
    <n v="74.86"/>
    <n v="4.7619047620000003"/>
    <x v="284"/>
    <n v="6.9"/>
  </r>
  <r>
    <x v="287"/>
    <s v="C"/>
    <x v="1"/>
    <x v="1"/>
    <x v="0"/>
    <x v="3"/>
    <n v="23.75"/>
    <n v="9"/>
    <n v="10.6875"/>
    <n v="224.4375"/>
    <x v="82"/>
    <x v="110"/>
    <x v="1"/>
    <n v="213.75"/>
    <n v="4.7619047620000003"/>
    <x v="285"/>
    <n v="9.5"/>
  </r>
  <r>
    <x v="288"/>
    <s v="B"/>
    <x v="2"/>
    <x v="1"/>
    <x v="0"/>
    <x v="4"/>
    <n v="48.51"/>
    <n v="7"/>
    <n v="16.9785"/>
    <n v="356.54849999999999"/>
    <x v="25"/>
    <x v="241"/>
    <x v="2"/>
    <n v="339.57"/>
    <n v="4.7619047620000003"/>
    <x v="286"/>
    <n v="5.2"/>
  </r>
  <r>
    <x v="289"/>
    <s v="A"/>
    <x v="0"/>
    <x v="0"/>
    <x v="0"/>
    <x v="2"/>
    <n v="94.88"/>
    <n v="7"/>
    <n v="33.207999999999998"/>
    <n v="697.36800000000005"/>
    <x v="36"/>
    <x v="242"/>
    <x v="1"/>
    <n v="664.16"/>
    <n v="4.7619047620000003"/>
    <x v="287"/>
    <n v="4.2"/>
  </r>
  <r>
    <x v="290"/>
    <s v="B"/>
    <x v="2"/>
    <x v="0"/>
    <x v="1"/>
    <x v="1"/>
    <n v="40.299999999999997"/>
    <n v="10"/>
    <n v="20.149999999999999"/>
    <n v="423.15"/>
    <x v="46"/>
    <x v="243"/>
    <x v="2"/>
    <n v="403"/>
    <n v="4.7619047620000003"/>
    <x v="288"/>
    <n v="7"/>
  </r>
  <r>
    <x v="291"/>
    <s v="C"/>
    <x v="1"/>
    <x v="1"/>
    <x v="1"/>
    <x v="1"/>
    <n v="27.85"/>
    <n v="7"/>
    <n v="9.7475000000000005"/>
    <n v="204.69749999999999"/>
    <x v="86"/>
    <x v="244"/>
    <x v="0"/>
    <n v="194.95"/>
    <n v="4.7619047620000003"/>
    <x v="289"/>
    <n v="6"/>
  </r>
  <r>
    <x v="292"/>
    <s v="A"/>
    <x v="0"/>
    <x v="0"/>
    <x v="0"/>
    <x v="1"/>
    <n v="62.48"/>
    <n v="1"/>
    <n v="3.1240000000000001"/>
    <n v="65.603999999999999"/>
    <x v="67"/>
    <x v="245"/>
    <x v="1"/>
    <n v="62.48"/>
    <n v="4.7619047620000003"/>
    <x v="290"/>
    <n v="4.7"/>
  </r>
  <r>
    <x v="293"/>
    <s v="A"/>
    <x v="0"/>
    <x v="0"/>
    <x v="0"/>
    <x v="4"/>
    <n v="36.36"/>
    <n v="2"/>
    <n v="3.6360000000000001"/>
    <n v="76.355999999999995"/>
    <x v="18"/>
    <x v="158"/>
    <x v="1"/>
    <n v="72.72"/>
    <n v="4.7619047620000003"/>
    <x v="291"/>
    <n v="7.1"/>
  </r>
  <r>
    <x v="294"/>
    <s v="B"/>
    <x v="2"/>
    <x v="1"/>
    <x v="1"/>
    <x v="0"/>
    <n v="18.11"/>
    <n v="10"/>
    <n v="9.0549999999999997"/>
    <n v="190.155"/>
    <x v="45"/>
    <x v="246"/>
    <x v="0"/>
    <n v="181.1"/>
    <n v="4.7619047620000003"/>
    <x v="292"/>
    <n v="5.9"/>
  </r>
  <r>
    <x v="295"/>
    <s v="C"/>
    <x v="1"/>
    <x v="0"/>
    <x v="0"/>
    <x v="1"/>
    <n v="51.92"/>
    <n v="5"/>
    <n v="12.98"/>
    <n v="272.58"/>
    <x v="2"/>
    <x v="247"/>
    <x v="1"/>
    <n v="259.60000000000002"/>
    <n v="4.7619047620000003"/>
    <x v="293"/>
    <n v="7.5"/>
  </r>
  <r>
    <x v="296"/>
    <s v="C"/>
    <x v="1"/>
    <x v="1"/>
    <x v="1"/>
    <x v="1"/>
    <n v="28.84"/>
    <n v="4"/>
    <n v="5.7679999999999998"/>
    <n v="121.128"/>
    <x v="14"/>
    <x v="248"/>
    <x v="1"/>
    <n v="115.36"/>
    <n v="4.7619047620000003"/>
    <x v="294"/>
    <n v="6.4"/>
  </r>
  <r>
    <x v="297"/>
    <s v="A"/>
    <x v="0"/>
    <x v="0"/>
    <x v="1"/>
    <x v="2"/>
    <n v="78.38"/>
    <n v="6"/>
    <n v="23.513999999999999"/>
    <n v="493.79399999999998"/>
    <x v="8"/>
    <x v="249"/>
    <x v="0"/>
    <n v="470.28"/>
    <n v="4.7619047620000003"/>
    <x v="295"/>
    <n v="5.8"/>
  </r>
  <r>
    <x v="298"/>
    <s v="A"/>
    <x v="0"/>
    <x v="0"/>
    <x v="1"/>
    <x v="2"/>
    <n v="60.01"/>
    <n v="4"/>
    <n v="12.002000000000001"/>
    <n v="252.042"/>
    <x v="25"/>
    <x v="250"/>
    <x v="1"/>
    <n v="240.04"/>
    <n v="4.7619047620000003"/>
    <x v="296"/>
    <n v="4.5"/>
  </r>
  <r>
    <x v="299"/>
    <s v="C"/>
    <x v="1"/>
    <x v="0"/>
    <x v="0"/>
    <x v="2"/>
    <n v="88.61"/>
    <n v="1"/>
    <n v="4.4305000000000003"/>
    <n v="93.040499999999994"/>
    <x v="64"/>
    <x v="251"/>
    <x v="1"/>
    <n v="88.61"/>
    <n v="4.7619047620000003"/>
    <x v="297"/>
    <n v="7.7"/>
  </r>
  <r>
    <x v="300"/>
    <s v="C"/>
    <x v="1"/>
    <x v="1"/>
    <x v="1"/>
    <x v="5"/>
    <n v="99.82"/>
    <n v="2"/>
    <n v="9.9819999999999993"/>
    <n v="209.62200000000001"/>
    <x v="56"/>
    <x v="203"/>
    <x v="2"/>
    <n v="199.64"/>
    <n v="4.7619047620000003"/>
    <x v="298"/>
    <n v="6.7"/>
  </r>
  <r>
    <x v="301"/>
    <s v="B"/>
    <x v="2"/>
    <x v="0"/>
    <x v="1"/>
    <x v="0"/>
    <n v="39.01"/>
    <n v="1"/>
    <n v="1.9504999999999999"/>
    <n v="40.960500000000003"/>
    <x v="41"/>
    <x v="252"/>
    <x v="2"/>
    <n v="39.01"/>
    <n v="4.7619047620000003"/>
    <x v="299"/>
    <n v="4.7"/>
  </r>
  <r>
    <x v="302"/>
    <s v="C"/>
    <x v="1"/>
    <x v="1"/>
    <x v="1"/>
    <x v="4"/>
    <n v="48.61"/>
    <n v="1"/>
    <n v="2.4304999999999999"/>
    <n v="51.040500000000002"/>
    <x v="6"/>
    <x v="26"/>
    <x v="1"/>
    <n v="48.61"/>
    <n v="4.7619047620000003"/>
    <x v="300"/>
    <n v="4.4000000000000004"/>
  </r>
  <r>
    <x v="303"/>
    <s v="A"/>
    <x v="0"/>
    <x v="1"/>
    <x v="0"/>
    <x v="1"/>
    <n v="51.19"/>
    <n v="4"/>
    <n v="10.238"/>
    <n v="214.99799999999999"/>
    <x v="79"/>
    <x v="8"/>
    <x v="2"/>
    <n v="204.76"/>
    <n v="4.7619047620000003"/>
    <x v="301"/>
    <n v="4.7"/>
  </r>
  <r>
    <x v="304"/>
    <s v="B"/>
    <x v="2"/>
    <x v="1"/>
    <x v="0"/>
    <x v="1"/>
    <n v="14.96"/>
    <n v="8"/>
    <n v="5.984"/>
    <n v="125.664"/>
    <x v="55"/>
    <x v="107"/>
    <x v="1"/>
    <n v="119.68"/>
    <n v="4.7619047620000003"/>
    <x v="302"/>
    <n v="8.6"/>
  </r>
  <r>
    <x v="305"/>
    <s v="A"/>
    <x v="0"/>
    <x v="0"/>
    <x v="1"/>
    <x v="1"/>
    <n v="72.2"/>
    <n v="7"/>
    <n v="25.27"/>
    <n v="530.66999999999996"/>
    <x v="58"/>
    <x v="253"/>
    <x v="0"/>
    <n v="505.4"/>
    <n v="4.7619047620000003"/>
    <x v="303"/>
    <n v="4.3"/>
  </r>
  <r>
    <x v="306"/>
    <s v="A"/>
    <x v="0"/>
    <x v="1"/>
    <x v="0"/>
    <x v="3"/>
    <n v="40.229999999999997"/>
    <n v="7"/>
    <n v="14.080500000000001"/>
    <n v="295.69049999999999"/>
    <x v="73"/>
    <x v="93"/>
    <x v="1"/>
    <n v="281.61"/>
    <n v="4.7619047620000003"/>
    <x v="304"/>
    <n v="9.6"/>
  </r>
  <r>
    <x v="307"/>
    <s v="A"/>
    <x v="0"/>
    <x v="0"/>
    <x v="0"/>
    <x v="2"/>
    <n v="88.79"/>
    <n v="8"/>
    <n v="35.515999999999998"/>
    <n v="745.83600000000001"/>
    <x v="21"/>
    <x v="254"/>
    <x v="1"/>
    <n v="710.32"/>
    <n v="4.7619047620000003"/>
    <x v="305"/>
    <n v="4.0999999999999996"/>
  </r>
  <r>
    <x v="308"/>
    <s v="A"/>
    <x v="0"/>
    <x v="0"/>
    <x v="0"/>
    <x v="1"/>
    <n v="26.48"/>
    <n v="3"/>
    <n v="3.972"/>
    <n v="83.412000000000006"/>
    <x v="76"/>
    <x v="21"/>
    <x v="0"/>
    <n v="79.44"/>
    <n v="4.7619047620000003"/>
    <x v="306"/>
    <n v="4.7"/>
  </r>
  <r>
    <x v="309"/>
    <s v="A"/>
    <x v="0"/>
    <x v="1"/>
    <x v="0"/>
    <x v="5"/>
    <n v="81.91"/>
    <n v="2"/>
    <n v="8.1910000000000007"/>
    <n v="172.011"/>
    <x v="19"/>
    <x v="255"/>
    <x v="1"/>
    <n v="163.82"/>
    <n v="4.7619047620000003"/>
    <x v="307"/>
    <n v="7.8"/>
  </r>
  <r>
    <x v="310"/>
    <s v="B"/>
    <x v="2"/>
    <x v="0"/>
    <x v="1"/>
    <x v="3"/>
    <n v="79.930000000000007"/>
    <n v="6"/>
    <n v="23.978999999999999"/>
    <n v="503.55900000000003"/>
    <x v="82"/>
    <x v="214"/>
    <x v="1"/>
    <n v="479.58"/>
    <n v="4.7619047620000003"/>
    <x v="308"/>
    <n v="5.5"/>
  </r>
  <r>
    <x v="311"/>
    <s v="C"/>
    <x v="1"/>
    <x v="0"/>
    <x v="1"/>
    <x v="5"/>
    <n v="69.33"/>
    <n v="2"/>
    <n v="6.9329999999999998"/>
    <n v="145.59299999999999"/>
    <x v="63"/>
    <x v="256"/>
    <x v="0"/>
    <n v="138.66"/>
    <n v="4.7619047620000003"/>
    <x v="309"/>
    <n v="9.6999999999999993"/>
  </r>
  <r>
    <x v="312"/>
    <s v="A"/>
    <x v="0"/>
    <x v="0"/>
    <x v="0"/>
    <x v="4"/>
    <n v="14.23"/>
    <n v="5"/>
    <n v="3.5575000000000001"/>
    <n v="74.707499999999996"/>
    <x v="60"/>
    <x v="257"/>
    <x v="2"/>
    <n v="71.150000000000006"/>
    <n v="4.7619047620000003"/>
    <x v="310"/>
    <n v="4.4000000000000004"/>
  </r>
  <r>
    <x v="313"/>
    <s v="A"/>
    <x v="0"/>
    <x v="0"/>
    <x v="0"/>
    <x v="0"/>
    <n v="15.55"/>
    <n v="9"/>
    <n v="6.9974999999999996"/>
    <n v="146.94749999999999"/>
    <x v="37"/>
    <x v="258"/>
    <x v="1"/>
    <n v="139.94999999999999"/>
    <n v="4.7619047620000003"/>
    <x v="311"/>
    <n v="5"/>
  </r>
  <r>
    <x v="314"/>
    <s v="C"/>
    <x v="1"/>
    <x v="0"/>
    <x v="0"/>
    <x v="1"/>
    <n v="78.13"/>
    <n v="10"/>
    <n v="39.064999999999998"/>
    <n v="820.36500000000001"/>
    <x v="34"/>
    <x v="259"/>
    <x v="1"/>
    <n v="781.3"/>
    <n v="4.7619047620000003"/>
    <x v="312"/>
    <n v="4.4000000000000004"/>
  </r>
  <r>
    <x v="315"/>
    <s v="C"/>
    <x v="1"/>
    <x v="0"/>
    <x v="1"/>
    <x v="4"/>
    <n v="99.37"/>
    <n v="2"/>
    <n v="9.9369999999999994"/>
    <n v="208.67699999999999"/>
    <x v="44"/>
    <x v="260"/>
    <x v="1"/>
    <n v="198.74"/>
    <n v="4.7619047620000003"/>
    <x v="313"/>
    <n v="5.2"/>
  </r>
  <r>
    <x v="316"/>
    <s v="C"/>
    <x v="1"/>
    <x v="0"/>
    <x v="0"/>
    <x v="4"/>
    <n v="21.08"/>
    <n v="3"/>
    <n v="3.1619999999999999"/>
    <n v="66.402000000000001"/>
    <x v="57"/>
    <x v="12"/>
    <x v="1"/>
    <n v="63.24"/>
    <n v="4.7619047620000003"/>
    <x v="314"/>
    <n v="7.3"/>
  </r>
  <r>
    <x v="317"/>
    <s v="C"/>
    <x v="1"/>
    <x v="0"/>
    <x v="1"/>
    <x v="1"/>
    <n v="74.790000000000006"/>
    <n v="5"/>
    <n v="18.697500000000002"/>
    <n v="392.64749999999998"/>
    <x v="8"/>
    <x v="261"/>
    <x v="1"/>
    <n v="373.95"/>
    <n v="4.7619047620000003"/>
    <x v="315"/>
    <n v="4.9000000000000004"/>
  </r>
  <r>
    <x v="318"/>
    <s v="C"/>
    <x v="1"/>
    <x v="0"/>
    <x v="0"/>
    <x v="0"/>
    <n v="29.67"/>
    <n v="7"/>
    <n v="10.384499999999999"/>
    <n v="218.0745"/>
    <x v="16"/>
    <x v="262"/>
    <x v="2"/>
    <n v="207.69"/>
    <n v="4.7619047620000003"/>
    <x v="316"/>
    <n v="8.1"/>
  </r>
  <r>
    <x v="319"/>
    <s v="C"/>
    <x v="1"/>
    <x v="0"/>
    <x v="1"/>
    <x v="0"/>
    <n v="44.07"/>
    <n v="4"/>
    <n v="8.8140000000000001"/>
    <n v="185.09399999999999"/>
    <x v="67"/>
    <x v="235"/>
    <x v="0"/>
    <n v="176.28"/>
    <n v="4.7619047620000003"/>
    <x v="317"/>
    <n v="8.4"/>
  </r>
  <r>
    <x v="320"/>
    <s v="C"/>
    <x v="1"/>
    <x v="1"/>
    <x v="0"/>
    <x v="4"/>
    <n v="22.93"/>
    <n v="9"/>
    <n v="10.3185"/>
    <n v="216.6885"/>
    <x v="84"/>
    <x v="263"/>
    <x v="1"/>
    <n v="206.37"/>
    <n v="4.7619047620000003"/>
    <x v="318"/>
    <n v="5.5"/>
  </r>
  <r>
    <x v="321"/>
    <s v="C"/>
    <x v="1"/>
    <x v="1"/>
    <x v="0"/>
    <x v="0"/>
    <n v="39.42"/>
    <n v="1"/>
    <n v="1.9710000000000001"/>
    <n v="41.390999999999998"/>
    <x v="68"/>
    <x v="264"/>
    <x v="1"/>
    <n v="39.42"/>
    <n v="4.7619047620000003"/>
    <x v="319"/>
    <n v="8.4"/>
  </r>
  <r>
    <x v="322"/>
    <s v="A"/>
    <x v="0"/>
    <x v="1"/>
    <x v="1"/>
    <x v="0"/>
    <n v="15.26"/>
    <n v="6"/>
    <n v="4.5780000000000003"/>
    <n v="96.138000000000005"/>
    <x v="42"/>
    <x v="172"/>
    <x v="0"/>
    <n v="91.56"/>
    <n v="4.7619047620000003"/>
    <x v="320"/>
    <n v="9.8000000000000007"/>
  </r>
  <r>
    <x v="323"/>
    <s v="A"/>
    <x v="0"/>
    <x v="1"/>
    <x v="0"/>
    <x v="5"/>
    <n v="61.77"/>
    <n v="5"/>
    <n v="15.442500000000001"/>
    <n v="324.29250000000002"/>
    <x v="1"/>
    <x v="265"/>
    <x v="1"/>
    <n v="308.85000000000002"/>
    <n v="4.7619047620000003"/>
    <x v="321"/>
    <n v="6.7"/>
  </r>
  <r>
    <x v="324"/>
    <s v="A"/>
    <x v="0"/>
    <x v="1"/>
    <x v="1"/>
    <x v="2"/>
    <n v="21.52"/>
    <n v="6"/>
    <n v="6.4560000000000004"/>
    <n v="135.57599999999999"/>
    <x v="29"/>
    <x v="266"/>
    <x v="2"/>
    <n v="129.12"/>
    <n v="4.7619047620000003"/>
    <x v="322"/>
    <n v="9.4"/>
  </r>
  <r>
    <x v="325"/>
    <s v="B"/>
    <x v="2"/>
    <x v="1"/>
    <x v="1"/>
    <x v="3"/>
    <n v="97.74"/>
    <n v="4"/>
    <n v="19.547999999999998"/>
    <n v="410.50799999999998"/>
    <x v="41"/>
    <x v="267"/>
    <x v="0"/>
    <n v="390.96"/>
    <n v="4.7619047620000003"/>
    <x v="323"/>
    <n v="6.4"/>
  </r>
  <r>
    <x v="326"/>
    <s v="A"/>
    <x v="0"/>
    <x v="0"/>
    <x v="1"/>
    <x v="4"/>
    <n v="99.78"/>
    <n v="5"/>
    <n v="24.945"/>
    <n v="523.84500000000003"/>
    <x v="11"/>
    <x v="268"/>
    <x v="1"/>
    <n v="498.9"/>
    <n v="4.7619047620000003"/>
    <x v="324"/>
    <n v="5.4"/>
  </r>
  <r>
    <x v="327"/>
    <s v="C"/>
    <x v="1"/>
    <x v="0"/>
    <x v="1"/>
    <x v="4"/>
    <n v="94.26"/>
    <n v="4"/>
    <n v="18.852"/>
    <n v="395.892"/>
    <x v="41"/>
    <x v="269"/>
    <x v="1"/>
    <n v="377.04"/>
    <n v="4.7619047620000003"/>
    <x v="325"/>
    <n v="8.6"/>
  </r>
  <r>
    <x v="328"/>
    <s v="B"/>
    <x v="2"/>
    <x v="0"/>
    <x v="1"/>
    <x v="0"/>
    <n v="51.13"/>
    <n v="4"/>
    <n v="10.226000000000001"/>
    <n v="214.74600000000001"/>
    <x v="25"/>
    <x v="41"/>
    <x v="2"/>
    <n v="204.52"/>
    <n v="4.7619047620000003"/>
    <x v="326"/>
    <n v="4"/>
  </r>
  <r>
    <x v="329"/>
    <s v="A"/>
    <x v="0"/>
    <x v="0"/>
    <x v="1"/>
    <x v="1"/>
    <n v="36.36"/>
    <n v="4"/>
    <n v="7.2720000000000002"/>
    <n v="152.71199999999999"/>
    <x v="5"/>
    <x v="270"/>
    <x v="1"/>
    <n v="145.44"/>
    <n v="4.7619047620000003"/>
    <x v="327"/>
    <n v="7.6"/>
  </r>
  <r>
    <x v="330"/>
    <s v="B"/>
    <x v="2"/>
    <x v="1"/>
    <x v="1"/>
    <x v="2"/>
    <n v="22.02"/>
    <n v="9"/>
    <n v="9.9090000000000007"/>
    <n v="208.089"/>
    <x v="13"/>
    <x v="271"/>
    <x v="1"/>
    <n v="198.18"/>
    <n v="4.7619047620000003"/>
    <x v="328"/>
    <n v="6.8"/>
  </r>
  <r>
    <x v="331"/>
    <s v="A"/>
    <x v="0"/>
    <x v="1"/>
    <x v="1"/>
    <x v="4"/>
    <n v="32.9"/>
    <n v="3"/>
    <n v="4.9349999999999996"/>
    <n v="103.63500000000001"/>
    <x v="21"/>
    <x v="272"/>
    <x v="2"/>
    <n v="98.7"/>
    <n v="4.7619047620000003"/>
    <x v="329"/>
    <n v="9.1"/>
  </r>
  <r>
    <x v="332"/>
    <s v="A"/>
    <x v="0"/>
    <x v="1"/>
    <x v="1"/>
    <x v="5"/>
    <n v="77.02"/>
    <n v="5"/>
    <n v="19.254999999999999"/>
    <n v="404.35500000000002"/>
    <x v="36"/>
    <x v="273"/>
    <x v="1"/>
    <n v="385.1"/>
    <n v="4.7619047620000003"/>
    <x v="330"/>
    <n v="5.5"/>
  </r>
  <r>
    <x v="333"/>
    <s v="A"/>
    <x v="0"/>
    <x v="0"/>
    <x v="1"/>
    <x v="4"/>
    <n v="23.48"/>
    <n v="2"/>
    <n v="2.3479999999999999"/>
    <n v="49.308"/>
    <x v="86"/>
    <x v="274"/>
    <x v="2"/>
    <n v="46.96"/>
    <n v="4.7619047620000003"/>
    <x v="331"/>
    <n v="7.9"/>
  </r>
  <r>
    <x v="334"/>
    <s v="C"/>
    <x v="1"/>
    <x v="0"/>
    <x v="1"/>
    <x v="3"/>
    <n v="14.7"/>
    <n v="5"/>
    <n v="3.6749999999999998"/>
    <n v="77.174999999999997"/>
    <x v="62"/>
    <x v="128"/>
    <x v="0"/>
    <n v="73.5"/>
    <n v="4.7619047620000003"/>
    <x v="332"/>
    <n v="8.5"/>
  </r>
  <r>
    <x v="335"/>
    <s v="A"/>
    <x v="0"/>
    <x v="0"/>
    <x v="0"/>
    <x v="1"/>
    <n v="28.45"/>
    <n v="5"/>
    <n v="7.1124999999999998"/>
    <n v="149.36250000000001"/>
    <x v="76"/>
    <x v="79"/>
    <x v="2"/>
    <n v="142.25"/>
    <n v="4.7619047620000003"/>
    <x v="333"/>
    <n v="9.1"/>
  </r>
  <r>
    <x v="336"/>
    <s v="A"/>
    <x v="0"/>
    <x v="1"/>
    <x v="1"/>
    <x v="5"/>
    <n v="76.400000000000006"/>
    <n v="9"/>
    <n v="34.380000000000003"/>
    <n v="721.98"/>
    <x v="35"/>
    <x v="275"/>
    <x v="0"/>
    <n v="687.6"/>
    <n v="4.7619047620000003"/>
    <x v="334"/>
    <n v="7.5"/>
  </r>
  <r>
    <x v="337"/>
    <s v="B"/>
    <x v="2"/>
    <x v="1"/>
    <x v="0"/>
    <x v="3"/>
    <n v="57.95"/>
    <n v="6"/>
    <n v="17.385000000000002"/>
    <n v="365.08499999999998"/>
    <x v="7"/>
    <x v="276"/>
    <x v="1"/>
    <n v="347.7"/>
    <n v="4.7619047620000003"/>
    <x v="335"/>
    <n v="5.2"/>
  </r>
  <r>
    <x v="338"/>
    <s v="C"/>
    <x v="1"/>
    <x v="1"/>
    <x v="0"/>
    <x v="1"/>
    <n v="47.65"/>
    <n v="3"/>
    <n v="7.1475"/>
    <n v="150.0975"/>
    <x v="61"/>
    <x v="187"/>
    <x v="2"/>
    <n v="142.94999999999999"/>
    <n v="4.7619047620000003"/>
    <x v="336"/>
    <n v="9.5"/>
  </r>
  <r>
    <x v="339"/>
    <s v="B"/>
    <x v="2"/>
    <x v="0"/>
    <x v="0"/>
    <x v="4"/>
    <n v="42.82"/>
    <n v="9"/>
    <n v="19.268999999999998"/>
    <n v="404.649"/>
    <x v="63"/>
    <x v="108"/>
    <x v="2"/>
    <n v="385.38"/>
    <n v="4.7619047620000003"/>
    <x v="337"/>
    <n v="8.9"/>
  </r>
  <r>
    <x v="340"/>
    <s v="B"/>
    <x v="2"/>
    <x v="0"/>
    <x v="1"/>
    <x v="1"/>
    <n v="48.09"/>
    <n v="3"/>
    <n v="7.2134999999999998"/>
    <n v="151.48349999999999"/>
    <x v="34"/>
    <x v="136"/>
    <x v="2"/>
    <n v="144.27000000000001"/>
    <n v="4.7619047620000003"/>
    <x v="338"/>
    <n v="7.8"/>
  </r>
  <r>
    <x v="341"/>
    <s v="B"/>
    <x v="2"/>
    <x v="0"/>
    <x v="0"/>
    <x v="0"/>
    <n v="55.97"/>
    <n v="7"/>
    <n v="19.589500000000001"/>
    <n v="411.37950000000001"/>
    <x v="19"/>
    <x v="216"/>
    <x v="0"/>
    <n v="391.79"/>
    <n v="4.7619047620000003"/>
    <x v="339"/>
    <n v="8.9"/>
  </r>
  <r>
    <x v="342"/>
    <s v="B"/>
    <x v="2"/>
    <x v="0"/>
    <x v="0"/>
    <x v="0"/>
    <n v="76.900000000000006"/>
    <n v="7"/>
    <n v="26.914999999999999"/>
    <n v="565.21500000000003"/>
    <x v="42"/>
    <x v="277"/>
    <x v="1"/>
    <n v="538.29999999999995"/>
    <n v="4.7619047620000003"/>
    <x v="340"/>
    <n v="7.7"/>
  </r>
  <r>
    <x v="343"/>
    <s v="C"/>
    <x v="1"/>
    <x v="1"/>
    <x v="0"/>
    <x v="4"/>
    <n v="97.03"/>
    <n v="5"/>
    <n v="24.2575"/>
    <n v="509.40750000000003"/>
    <x v="74"/>
    <x v="75"/>
    <x v="0"/>
    <n v="485.15"/>
    <n v="4.7619047620000003"/>
    <x v="341"/>
    <n v="9.3000000000000007"/>
  </r>
  <r>
    <x v="344"/>
    <s v="A"/>
    <x v="0"/>
    <x v="1"/>
    <x v="1"/>
    <x v="3"/>
    <n v="44.65"/>
    <n v="3"/>
    <n v="6.6974999999999998"/>
    <n v="140.64750000000001"/>
    <x v="44"/>
    <x v="278"/>
    <x v="1"/>
    <n v="133.94999999999999"/>
    <n v="4.7619047620000003"/>
    <x v="342"/>
    <n v="6.2"/>
  </r>
  <r>
    <x v="345"/>
    <s v="A"/>
    <x v="0"/>
    <x v="1"/>
    <x v="0"/>
    <x v="5"/>
    <n v="77.930000000000007"/>
    <n v="9"/>
    <n v="35.0685"/>
    <n v="736.43849999999998"/>
    <x v="33"/>
    <x v="279"/>
    <x v="0"/>
    <n v="701.37"/>
    <n v="4.7619047620000003"/>
    <x v="343"/>
    <n v="7.6"/>
  </r>
  <r>
    <x v="346"/>
    <s v="A"/>
    <x v="0"/>
    <x v="0"/>
    <x v="1"/>
    <x v="1"/>
    <n v="71.95"/>
    <n v="1"/>
    <n v="3.5975000000000001"/>
    <n v="75.547499999999999"/>
    <x v="87"/>
    <x v="280"/>
    <x v="1"/>
    <n v="71.95"/>
    <n v="4.7619047620000003"/>
    <x v="344"/>
    <n v="7.3"/>
  </r>
  <r>
    <x v="347"/>
    <s v="C"/>
    <x v="1"/>
    <x v="0"/>
    <x v="0"/>
    <x v="2"/>
    <n v="89.25"/>
    <n v="8"/>
    <n v="35.700000000000003"/>
    <n v="749.7"/>
    <x v="40"/>
    <x v="173"/>
    <x v="1"/>
    <n v="714"/>
    <n v="4.7619047620000003"/>
    <x v="345"/>
    <n v="4.7"/>
  </r>
  <r>
    <x v="348"/>
    <s v="A"/>
    <x v="0"/>
    <x v="1"/>
    <x v="1"/>
    <x v="1"/>
    <n v="26.02"/>
    <n v="7"/>
    <n v="9.1069999999999993"/>
    <n v="191.24700000000001"/>
    <x v="61"/>
    <x v="180"/>
    <x v="1"/>
    <n v="182.14"/>
    <n v="4.7619047620000003"/>
    <x v="346"/>
    <n v="5.0999999999999996"/>
  </r>
  <r>
    <x v="349"/>
    <s v="B"/>
    <x v="2"/>
    <x v="1"/>
    <x v="0"/>
    <x v="0"/>
    <n v="13.5"/>
    <n v="10"/>
    <n v="6.75"/>
    <n v="141.75"/>
    <x v="33"/>
    <x v="281"/>
    <x v="2"/>
    <n v="135"/>
    <n v="4.7619047620000003"/>
    <x v="347"/>
    <n v="4.8"/>
  </r>
  <r>
    <x v="350"/>
    <s v="C"/>
    <x v="1"/>
    <x v="0"/>
    <x v="0"/>
    <x v="5"/>
    <n v="99.3"/>
    <n v="10"/>
    <n v="49.65"/>
    <n v="1042.6500000000001"/>
    <x v="42"/>
    <x v="222"/>
    <x v="2"/>
    <n v="993"/>
    <n v="4.7619047620000003"/>
    <x v="348"/>
    <n v="6.6"/>
  </r>
  <r>
    <x v="351"/>
    <s v="A"/>
    <x v="0"/>
    <x v="1"/>
    <x v="1"/>
    <x v="1"/>
    <n v="51.69"/>
    <n v="7"/>
    <n v="18.0915"/>
    <n v="379.92149999999998"/>
    <x v="53"/>
    <x v="282"/>
    <x v="1"/>
    <n v="361.83"/>
    <n v="4.7619047620000003"/>
    <x v="349"/>
    <n v="5.5"/>
  </r>
  <r>
    <x v="352"/>
    <s v="B"/>
    <x v="2"/>
    <x v="0"/>
    <x v="0"/>
    <x v="5"/>
    <n v="54.73"/>
    <n v="7"/>
    <n v="19.1555"/>
    <n v="402.26549999999997"/>
    <x v="86"/>
    <x v="283"/>
    <x v="2"/>
    <n v="383.11"/>
    <n v="4.7619047620000003"/>
    <x v="350"/>
    <n v="8.5"/>
  </r>
  <r>
    <x v="353"/>
    <s v="B"/>
    <x v="2"/>
    <x v="0"/>
    <x v="1"/>
    <x v="2"/>
    <n v="27"/>
    <n v="9"/>
    <n v="12.15"/>
    <n v="255.15"/>
    <x v="22"/>
    <x v="249"/>
    <x v="1"/>
    <n v="243"/>
    <n v="4.7619047620000003"/>
    <x v="351"/>
    <n v="4.8"/>
  </r>
  <r>
    <x v="354"/>
    <s v="C"/>
    <x v="1"/>
    <x v="1"/>
    <x v="0"/>
    <x v="1"/>
    <n v="30.24"/>
    <n v="1"/>
    <n v="1.512"/>
    <n v="31.751999999999999"/>
    <x v="31"/>
    <x v="284"/>
    <x v="1"/>
    <n v="30.24"/>
    <n v="4.7619047620000003"/>
    <x v="352"/>
    <n v="8.4"/>
  </r>
  <r>
    <x v="355"/>
    <s v="B"/>
    <x v="2"/>
    <x v="0"/>
    <x v="0"/>
    <x v="4"/>
    <n v="89.14"/>
    <n v="4"/>
    <n v="17.827999999999999"/>
    <n v="374.38799999999998"/>
    <x v="27"/>
    <x v="22"/>
    <x v="2"/>
    <n v="356.56"/>
    <n v="4.7619047620000003"/>
    <x v="353"/>
    <n v="7.8"/>
  </r>
  <r>
    <x v="356"/>
    <s v="C"/>
    <x v="1"/>
    <x v="1"/>
    <x v="0"/>
    <x v="5"/>
    <n v="37.549999999999997"/>
    <n v="10"/>
    <n v="18.774999999999999"/>
    <n v="394.27499999999998"/>
    <x v="1"/>
    <x v="285"/>
    <x v="2"/>
    <n v="375.5"/>
    <n v="4.7619047620000003"/>
    <x v="354"/>
    <n v="9.3000000000000007"/>
  </r>
  <r>
    <x v="357"/>
    <s v="C"/>
    <x v="1"/>
    <x v="1"/>
    <x v="0"/>
    <x v="3"/>
    <n v="95.44"/>
    <n v="10"/>
    <n v="47.72"/>
    <n v="1002.12"/>
    <x v="51"/>
    <x v="286"/>
    <x v="1"/>
    <n v="954.4"/>
    <n v="4.7619047620000003"/>
    <x v="355"/>
    <n v="5.2"/>
  </r>
  <r>
    <x v="358"/>
    <s v="B"/>
    <x v="2"/>
    <x v="1"/>
    <x v="1"/>
    <x v="1"/>
    <n v="27.5"/>
    <n v="3"/>
    <n v="4.125"/>
    <n v="86.625"/>
    <x v="59"/>
    <x v="287"/>
    <x v="0"/>
    <n v="82.5"/>
    <n v="4.7619047620000003"/>
    <x v="356"/>
    <n v="6.5"/>
  </r>
  <r>
    <x v="359"/>
    <s v="B"/>
    <x v="2"/>
    <x v="1"/>
    <x v="1"/>
    <x v="3"/>
    <n v="74.97"/>
    <n v="1"/>
    <n v="3.7484999999999999"/>
    <n v="78.718500000000006"/>
    <x v="32"/>
    <x v="288"/>
    <x v="1"/>
    <n v="74.97"/>
    <n v="4.7619047620000003"/>
    <x v="357"/>
    <n v="5.6"/>
  </r>
  <r>
    <x v="360"/>
    <s v="A"/>
    <x v="0"/>
    <x v="0"/>
    <x v="1"/>
    <x v="4"/>
    <n v="80.959999999999994"/>
    <n v="8"/>
    <n v="32.384"/>
    <n v="680.06399999999996"/>
    <x v="21"/>
    <x v="289"/>
    <x v="2"/>
    <n v="647.67999999999995"/>
    <n v="4.7619047620000003"/>
    <x v="358"/>
    <n v="7.4"/>
  </r>
  <r>
    <x v="361"/>
    <s v="C"/>
    <x v="1"/>
    <x v="1"/>
    <x v="0"/>
    <x v="4"/>
    <n v="94.47"/>
    <n v="8"/>
    <n v="37.787999999999997"/>
    <n v="793.548"/>
    <x v="33"/>
    <x v="290"/>
    <x v="1"/>
    <n v="755.76"/>
    <n v="4.7619047620000003"/>
    <x v="359"/>
    <n v="9.1"/>
  </r>
  <r>
    <x v="362"/>
    <s v="C"/>
    <x v="1"/>
    <x v="1"/>
    <x v="1"/>
    <x v="4"/>
    <n v="99.79"/>
    <n v="2"/>
    <n v="9.9789999999999992"/>
    <n v="209.559"/>
    <x v="37"/>
    <x v="291"/>
    <x v="0"/>
    <n v="199.58"/>
    <n v="4.7619047620000003"/>
    <x v="360"/>
    <n v="8"/>
  </r>
  <r>
    <x v="363"/>
    <s v="A"/>
    <x v="0"/>
    <x v="1"/>
    <x v="1"/>
    <x v="2"/>
    <n v="73.22"/>
    <n v="6"/>
    <n v="21.966000000000001"/>
    <n v="461.286"/>
    <x v="18"/>
    <x v="292"/>
    <x v="1"/>
    <n v="439.32"/>
    <n v="4.7619047620000003"/>
    <x v="361"/>
    <n v="7.2"/>
  </r>
  <r>
    <x v="364"/>
    <s v="C"/>
    <x v="1"/>
    <x v="1"/>
    <x v="0"/>
    <x v="4"/>
    <n v="41.24"/>
    <n v="4"/>
    <n v="8.2479999999999993"/>
    <n v="173.208"/>
    <x v="88"/>
    <x v="293"/>
    <x v="1"/>
    <n v="164.96"/>
    <n v="4.7619047620000003"/>
    <x v="362"/>
    <n v="7.1"/>
  </r>
  <r>
    <x v="365"/>
    <s v="C"/>
    <x v="1"/>
    <x v="1"/>
    <x v="0"/>
    <x v="5"/>
    <n v="81.680000000000007"/>
    <n v="4"/>
    <n v="16.335999999999999"/>
    <n v="343.05599999999998"/>
    <x v="47"/>
    <x v="294"/>
    <x v="1"/>
    <n v="326.72000000000003"/>
    <n v="4.7619047620000003"/>
    <x v="363"/>
    <n v="9.1"/>
  </r>
  <r>
    <x v="366"/>
    <s v="C"/>
    <x v="1"/>
    <x v="1"/>
    <x v="0"/>
    <x v="1"/>
    <n v="51.32"/>
    <n v="9"/>
    <n v="23.094000000000001"/>
    <n v="484.97399999999999"/>
    <x v="86"/>
    <x v="295"/>
    <x v="1"/>
    <n v="461.88"/>
    <n v="4.7619047620000003"/>
    <x v="364"/>
    <n v="5.6"/>
  </r>
  <r>
    <x v="367"/>
    <s v="A"/>
    <x v="0"/>
    <x v="0"/>
    <x v="1"/>
    <x v="2"/>
    <n v="65.94"/>
    <n v="4"/>
    <n v="13.188000000000001"/>
    <n v="276.94799999999998"/>
    <x v="62"/>
    <x v="1"/>
    <x v="1"/>
    <n v="263.76"/>
    <n v="4.7619047620000003"/>
    <x v="257"/>
    <n v="6"/>
  </r>
  <r>
    <x v="368"/>
    <s v="C"/>
    <x v="1"/>
    <x v="1"/>
    <x v="0"/>
    <x v="3"/>
    <n v="14.36"/>
    <n v="10"/>
    <n v="7.18"/>
    <n v="150.78"/>
    <x v="3"/>
    <x v="296"/>
    <x v="1"/>
    <n v="143.6"/>
    <n v="4.7619047620000003"/>
    <x v="365"/>
    <n v="5.4"/>
  </r>
  <r>
    <x v="369"/>
    <s v="A"/>
    <x v="0"/>
    <x v="0"/>
    <x v="1"/>
    <x v="1"/>
    <n v="21.5"/>
    <n v="9"/>
    <n v="9.6750000000000007"/>
    <n v="203.17500000000001"/>
    <x v="43"/>
    <x v="69"/>
    <x v="2"/>
    <n v="193.5"/>
    <n v="4.7619047620000003"/>
    <x v="366"/>
    <n v="7.8"/>
  </r>
  <r>
    <x v="370"/>
    <s v="B"/>
    <x v="2"/>
    <x v="0"/>
    <x v="0"/>
    <x v="1"/>
    <n v="26.26"/>
    <n v="7"/>
    <n v="9.1910000000000007"/>
    <n v="193.011"/>
    <x v="30"/>
    <x v="138"/>
    <x v="1"/>
    <n v="183.82"/>
    <n v="4.7619047620000003"/>
    <x v="367"/>
    <n v="9.9"/>
  </r>
  <r>
    <x v="371"/>
    <s v="B"/>
    <x v="2"/>
    <x v="1"/>
    <x v="0"/>
    <x v="5"/>
    <n v="60.96"/>
    <n v="2"/>
    <n v="6.0960000000000001"/>
    <n v="128.01599999999999"/>
    <x v="25"/>
    <x v="30"/>
    <x v="2"/>
    <n v="121.92"/>
    <n v="4.7619047620000003"/>
    <x v="368"/>
    <n v="4.9000000000000004"/>
  </r>
  <r>
    <x v="372"/>
    <s v="C"/>
    <x v="1"/>
    <x v="1"/>
    <x v="0"/>
    <x v="2"/>
    <n v="70.11"/>
    <n v="6"/>
    <n v="21.033000000000001"/>
    <n v="441.69299999999998"/>
    <x v="86"/>
    <x v="297"/>
    <x v="0"/>
    <n v="420.66"/>
    <n v="4.7619047620000003"/>
    <x v="369"/>
    <n v="5.2"/>
  </r>
  <r>
    <x v="373"/>
    <s v="C"/>
    <x v="1"/>
    <x v="1"/>
    <x v="1"/>
    <x v="5"/>
    <n v="42.08"/>
    <n v="6"/>
    <n v="12.624000000000001"/>
    <n v="265.10399999999998"/>
    <x v="71"/>
    <x v="298"/>
    <x v="1"/>
    <n v="252.48"/>
    <n v="4.7619047620000003"/>
    <x v="370"/>
    <n v="8.9"/>
  </r>
  <r>
    <x v="374"/>
    <s v="A"/>
    <x v="0"/>
    <x v="1"/>
    <x v="0"/>
    <x v="2"/>
    <n v="67.09"/>
    <n v="5"/>
    <n v="16.772500000000001"/>
    <n v="352.22250000000003"/>
    <x v="75"/>
    <x v="157"/>
    <x v="2"/>
    <n v="335.45"/>
    <n v="4.7619047620000003"/>
    <x v="371"/>
    <n v="9.1"/>
  </r>
  <r>
    <x v="375"/>
    <s v="A"/>
    <x v="0"/>
    <x v="0"/>
    <x v="0"/>
    <x v="5"/>
    <n v="96.7"/>
    <n v="5"/>
    <n v="24.175000000000001"/>
    <n v="507.67500000000001"/>
    <x v="78"/>
    <x v="299"/>
    <x v="0"/>
    <n v="483.5"/>
    <n v="4.7619047620000003"/>
    <x v="372"/>
    <n v="7"/>
  </r>
  <r>
    <x v="376"/>
    <s v="B"/>
    <x v="2"/>
    <x v="0"/>
    <x v="0"/>
    <x v="2"/>
    <n v="35.380000000000003"/>
    <n v="9"/>
    <n v="15.920999999999999"/>
    <n v="334.34100000000001"/>
    <x v="0"/>
    <x v="300"/>
    <x v="2"/>
    <n v="318.42"/>
    <n v="4.7619047620000003"/>
    <x v="373"/>
    <n v="9.6"/>
  </r>
  <r>
    <x v="377"/>
    <s v="C"/>
    <x v="1"/>
    <x v="1"/>
    <x v="1"/>
    <x v="3"/>
    <n v="95.49"/>
    <n v="7"/>
    <n v="33.421500000000002"/>
    <n v="701.85149999999999"/>
    <x v="70"/>
    <x v="70"/>
    <x v="0"/>
    <n v="668.43"/>
    <n v="4.7619047620000003"/>
    <x v="374"/>
    <n v="8.6999999999999993"/>
  </r>
  <r>
    <x v="378"/>
    <s v="C"/>
    <x v="1"/>
    <x v="0"/>
    <x v="1"/>
    <x v="5"/>
    <n v="96.98"/>
    <n v="4"/>
    <n v="19.396000000000001"/>
    <n v="407.31599999999997"/>
    <x v="10"/>
    <x v="244"/>
    <x v="0"/>
    <n v="387.92"/>
    <n v="4.7619047620000003"/>
    <x v="375"/>
    <n v="9.4"/>
  </r>
  <r>
    <x v="379"/>
    <s v="B"/>
    <x v="2"/>
    <x v="1"/>
    <x v="0"/>
    <x v="1"/>
    <n v="23.65"/>
    <n v="4"/>
    <n v="4.7300000000000004"/>
    <n v="99.33"/>
    <x v="74"/>
    <x v="147"/>
    <x v="2"/>
    <n v="94.6"/>
    <n v="4.7619047620000003"/>
    <x v="376"/>
    <n v="4"/>
  </r>
  <r>
    <x v="380"/>
    <s v="A"/>
    <x v="0"/>
    <x v="0"/>
    <x v="1"/>
    <x v="3"/>
    <n v="82.33"/>
    <n v="4"/>
    <n v="16.466000000000001"/>
    <n v="345.786"/>
    <x v="83"/>
    <x v="4"/>
    <x v="2"/>
    <n v="329.32"/>
    <n v="4.7619047620000003"/>
    <x v="377"/>
    <n v="7.5"/>
  </r>
  <r>
    <x v="381"/>
    <s v="C"/>
    <x v="1"/>
    <x v="1"/>
    <x v="0"/>
    <x v="1"/>
    <n v="26.61"/>
    <n v="2"/>
    <n v="2.661"/>
    <n v="55.881"/>
    <x v="35"/>
    <x v="63"/>
    <x v="1"/>
    <n v="53.22"/>
    <n v="4.7619047620000003"/>
    <x v="378"/>
    <n v="4.2"/>
  </r>
  <r>
    <x v="382"/>
    <s v="B"/>
    <x v="2"/>
    <x v="1"/>
    <x v="0"/>
    <x v="4"/>
    <n v="99.69"/>
    <n v="5"/>
    <n v="24.922499999999999"/>
    <n v="523.37249999999995"/>
    <x v="78"/>
    <x v="87"/>
    <x v="1"/>
    <n v="498.45"/>
    <n v="4.7619047620000003"/>
    <x v="379"/>
    <n v="9.9"/>
  </r>
  <r>
    <x v="383"/>
    <s v="C"/>
    <x v="1"/>
    <x v="0"/>
    <x v="0"/>
    <x v="4"/>
    <n v="74.89"/>
    <n v="4"/>
    <n v="14.978"/>
    <n v="314.53800000000001"/>
    <x v="59"/>
    <x v="301"/>
    <x v="0"/>
    <n v="299.56"/>
    <n v="4.7619047620000003"/>
    <x v="380"/>
    <n v="4.2"/>
  </r>
  <r>
    <x v="384"/>
    <s v="A"/>
    <x v="0"/>
    <x v="1"/>
    <x v="0"/>
    <x v="4"/>
    <n v="40.94"/>
    <n v="5"/>
    <n v="10.234999999999999"/>
    <n v="214.935"/>
    <x v="47"/>
    <x v="139"/>
    <x v="0"/>
    <n v="204.7"/>
    <n v="4.7619047620000003"/>
    <x v="381"/>
    <n v="9.9"/>
  </r>
  <r>
    <x v="385"/>
    <s v="B"/>
    <x v="2"/>
    <x v="0"/>
    <x v="1"/>
    <x v="3"/>
    <n v="75.819999999999993"/>
    <n v="1"/>
    <n v="3.7909999999999999"/>
    <n v="79.611000000000004"/>
    <x v="82"/>
    <x v="302"/>
    <x v="1"/>
    <n v="75.819999999999993"/>
    <n v="4.7619047620000003"/>
    <x v="382"/>
    <n v="5.8"/>
  </r>
  <r>
    <x v="386"/>
    <s v="C"/>
    <x v="1"/>
    <x v="1"/>
    <x v="1"/>
    <x v="4"/>
    <n v="46.77"/>
    <n v="6"/>
    <n v="14.031000000000001"/>
    <n v="294.65100000000001"/>
    <x v="16"/>
    <x v="303"/>
    <x v="1"/>
    <n v="280.62"/>
    <n v="4.7619047620000003"/>
    <x v="383"/>
    <n v="6"/>
  </r>
  <r>
    <x v="387"/>
    <s v="A"/>
    <x v="0"/>
    <x v="1"/>
    <x v="0"/>
    <x v="0"/>
    <n v="32.32"/>
    <n v="10"/>
    <n v="16.16"/>
    <n v="339.36"/>
    <x v="9"/>
    <x v="208"/>
    <x v="2"/>
    <n v="323.2"/>
    <n v="4.7619047620000003"/>
    <x v="384"/>
    <n v="10"/>
  </r>
  <r>
    <x v="388"/>
    <s v="C"/>
    <x v="1"/>
    <x v="0"/>
    <x v="0"/>
    <x v="5"/>
    <n v="54.07"/>
    <n v="9"/>
    <n v="24.331499999999998"/>
    <n v="510.9615"/>
    <x v="3"/>
    <x v="304"/>
    <x v="0"/>
    <n v="486.63"/>
    <n v="4.7619047620000003"/>
    <x v="385"/>
    <n v="9.5"/>
  </r>
  <r>
    <x v="389"/>
    <s v="B"/>
    <x v="2"/>
    <x v="1"/>
    <x v="1"/>
    <x v="4"/>
    <n v="18.22"/>
    <n v="7"/>
    <n v="6.3769999999999998"/>
    <n v="133.917"/>
    <x v="24"/>
    <x v="214"/>
    <x v="2"/>
    <n v="127.54"/>
    <n v="4.7619047620000003"/>
    <x v="386"/>
    <n v="6.6"/>
  </r>
  <r>
    <x v="390"/>
    <s v="C"/>
    <x v="1"/>
    <x v="0"/>
    <x v="0"/>
    <x v="5"/>
    <n v="80.48"/>
    <n v="3"/>
    <n v="12.071999999999999"/>
    <n v="253.512"/>
    <x v="42"/>
    <x v="305"/>
    <x v="1"/>
    <n v="241.44"/>
    <n v="4.7619047620000003"/>
    <x v="387"/>
    <n v="8.1"/>
  </r>
  <r>
    <x v="391"/>
    <s v="B"/>
    <x v="2"/>
    <x v="1"/>
    <x v="0"/>
    <x v="5"/>
    <n v="37.950000000000003"/>
    <n v="10"/>
    <n v="18.975000000000001"/>
    <n v="398.47500000000002"/>
    <x v="53"/>
    <x v="178"/>
    <x v="1"/>
    <n v="379.5"/>
    <n v="4.7619047620000003"/>
    <x v="388"/>
    <n v="9.6999999999999993"/>
  </r>
  <r>
    <x v="392"/>
    <s v="A"/>
    <x v="0"/>
    <x v="0"/>
    <x v="1"/>
    <x v="1"/>
    <n v="76.819999999999993"/>
    <n v="1"/>
    <n v="3.8410000000000002"/>
    <n v="80.661000000000001"/>
    <x v="77"/>
    <x v="185"/>
    <x v="0"/>
    <n v="76.819999999999993"/>
    <n v="4.7619047620000003"/>
    <x v="389"/>
    <n v="7.2"/>
  </r>
  <r>
    <x v="393"/>
    <s v="A"/>
    <x v="0"/>
    <x v="0"/>
    <x v="0"/>
    <x v="3"/>
    <n v="52.26"/>
    <n v="10"/>
    <n v="26.13"/>
    <n v="548.73"/>
    <x v="11"/>
    <x v="47"/>
    <x v="2"/>
    <n v="522.6"/>
    <n v="4.7619047620000003"/>
    <x v="390"/>
    <n v="6.2"/>
  </r>
  <r>
    <x v="394"/>
    <s v="A"/>
    <x v="0"/>
    <x v="1"/>
    <x v="0"/>
    <x v="0"/>
    <n v="79.739999999999995"/>
    <n v="1"/>
    <n v="3.9870000000000001"/>
    <n v="83.727000000000004"/>
    <x v="43"/>
    <x v="130"/>
    <x v="0"/>
    <n v="79.739999999999995"/>
    <n v="4.7619047620000003"/>
    <x v="391"/>
    <n v="7.3"/>
  </r>
  <r>
    <x v="395"/>
    <s v="A"/>
    <x v="0"/>
    <x v="1"/>
    <x v="0"/>
    <x v="0"/>
    <n v="77.5"/>
    <n v="5"/>
    <n v="19.375"/>
    <n v="406.875"/>
    <x v="46"/>
    <x v="58"/>
    <x v="0"/>
    <n v="387.5"/>
    <n v="4.7619047620000003"/>
    <x v="392"/>
    <n v="4.3"/>
  </r>
  <r>
    <x v="396"/>
    <s v="A"/>
    <x v="0"/>
    <x v="1"/>
    <x v="0"/>
    <x v="4"/>
    <n v="54.27"/>
    <n v="5"/>
    <n v="13.567500000000001"/>
    <n v="284.91750000000002"/>
    <x v="45"/>
    <x v="249"/>
    <x v="0"/>
    <n v="271.35000000000002"/>
    <n v="4.7619047620000003"/>
    <x v="393"/>
    <n v="4.5999999999999996"/>
  </r>
  <r>
    <x v="397"/>
    <s v="B"/>
    <x v="2"/>
    <x v="1"/>
    <x v="1"/>
    <x v="2"/>
    <n v="13.59"/>
    <n v="9"/>
    <n v="6.1154999999999999"/>
    <n v="128.4255"/>
    <x v="20"/>
    <x v="306"/>
    <x v="1"/>
    <n v="122.31"/>
    <n v="4.7619047620000003"/>
    <x v="394"/>
    <n v="5.8"/>
  </r>
  <r>
    <x v="398"/>
    <s v="B"/>
    <x v="2"/>
    <x v="0"/>
    <x v="0"/>
    <x v="0"/>
    <n v="41.06"/>
    <n v="6"/>
    <n v="12.318"/>
    <n v="258.678"/>
    <x v="19"/>
    <x v="241"/>
    <x v="2"/>
    <n v="246.36"/>
    <n v="4.7619047620000003"/>
    <x v="395"/>
    <n v="8.3000000000000007"/>
  </r>
  <r>
    <x v="399"/>
    <s v="B"/>
    <x v="2"/>
    <x v="0"/>
    <x v="1"/>
    <x v="1"/>
    <n v="19.239999999999998"/>
    <n v="9"/>
    <n v="8.6579999999999995"/>
    <n v="181.81800000000001"/>
    <x v="31"/>
    <x v="235"/>
    <x v="1"/>
    <n v="173.16"/>
    <n v="4.7619047620000003"/>
    <x v="396"/>
    <n v="8"/>
  </r>
  <r>
    <x v="400"/>
    <s v="C"/>
    <x v="1"/>
    <x v="1"/>
    <x v="0"/>
    <x v="4"/>
    <n v="39.43"/>
    <n v="6"/>
    <n v="11.829000000000001"/>
    <n v="248.40899999999999"/>
    <x v="5"/>
    <x v="307"/>
    <x v="2"/>
    <n v="236.58"/>
    <n v="4.7619047620000003"/>
    <x v="397"/>
    <n v="9.4"/>
  </r>
  <r>
    <x v="401"/>
    <s v="C"/>
    <x v="1"/>
    <x v="1"/>
    <x v="1"/>
    <x v="2"/>
    <n v="46.22"/>
    <n v="4"/>
    <n v="9.2439999999999998"/>
    <n v="194.124"/>
    <x v="41"/>
    <x v="308"/>
    <x v="2"/>
    <n v="184.88"/>
    <n v="4.7619047620000003"/>
    <x v="398"/>
    <n v="6.2"/>
  </r>
  <r>
    <x v="402"/>
    <s v="C"/>
    <x v="1"/>
    <x v="0"/>
    <x v="1"/>
    <x v="2"/>
    <n v="13.98"/>
    <n v="1"/>
    <n v="0.69899999999999995"/>
    <n v="14.679"/>
    <x v="87"/>
    <x v="309"/>
    <x v="0"/>
    <n v="13.98"/>
    <n v="4.7619047620000003"/>
    <x v="399"/>
    <n v="9.8000000000000007"/>
  </r>
  <r>
    <x v="403"/>
    <s v="B"/>
    <x v="2"/>
    <x v="1"/>
    <x v="0"/>
    <x v="5"/>
    <n v="39.75"/>
    <n v="5"/>
    <n v="9.9375"/>
    <n v="208.6875"/>
    <x v="70"/>
    <x v="100"/>
    <x v="0"/>
    <n v="198.75"/>
    <n v="4.7619047620000003"/>
    <x v="400"/>
    <n v="9.6"/>
  </r>
  <r>
    <x v="404"/>
    <s v="C"/>
    <x v="1"/>
    <x v="0"/>
    <x v="0"/>
    <x v="5"/>
    <n v="97.79"/>
    <n v="7"/>
    <n v="34.226500000000001"/>
    <n v="718.75649999999996"/>
    <x v="69"/>
    <x v="310"/>
    <x v="0"/>
    <n v="684.53"/>
    <n v="4.7619047620000003"/>
    <x v="401"/>
    <n v="4.9000000000000004"/>
  </r>
  <r>
    <x v="405"/>
    <s v="A"/>
    <x v="0"/>
    <x v="0"/>
    <x v="1"/>
    <x v="3"/>
    <n v="67.260000000000005"/>
    <n v="4"/>
    <n v="13.452"/>
    <n v="282.49200000000002"/>
    <x v="64"/>
    <x v="311"/>
    <x v="2"/>
    <n v="269.04000000000002"/>
    <n v="4.7619047620000003"/>
    <x v="402"/>
    <n v="8"/>
  </r>
  <r>
    <x v="406"/>
    <s v="A"/>
    <x v="0"/>
    <x v="1"/>
    <x v="1"/>
    <x v="4"/>
    <n v="13.79"/>
    <n v="5"/>
    <n v="3.4474999999999998"/>
    <n v="72.397499999999994"/>
    <x v="83"/>
    <x v="312"/>
    <x v="2"/>
    <n v="68.95"/>
    <n v="4.7619047620000003"/>
    <x v="403"/>
    <n v="7.8"/>
  </r>
  <r>
    <x v="407"/>
    <s v="B"/>
    <x v="2"/>
    <x v="0"/>
    <x v="0"/>
    <x v="5"/>
    <n v="68.709999999999994"/>
    <n v="4"/>
    <n v="13.742000000000001"/>
    <n v="288.58199999999999"/>
    <x v="72"/>
    <x v="54"/>
    <x v="1"/>
    <n v="274.83999999999997"/>
    <n v="4.7619047620000003"/>
    <x v="404"/>
    <n v="4.0999999999999996"/>
  </r>
  <r>
    <x v="408"/>
    <s v="A"/>
    <x v="0"/>
    <x v="1"/>
    <x v="0"/>
    <x v="2"/>
    <n v="56.53"/>
    <n v="4"/>
    <n v="11.305999999999999"/>
    <n v="237.42599999999999"/>
    <x v="31"/>
    <x v="28"/>
    <x v="0"/>
    <n v="226.12"/>
    <n v="4.7619047620000003"/>
    <x v="405"/>
    <n v="5.5"/>
  </r>
  <r>
    <x v="409"/>
    <s v="C"/>
    <x v="1"/>
    <x v="1"/>
    <x v="0"/>
    <x v="5"/>
    <n v="23.82"/>
    <n v="5"/>
    <n v="5.9550000000000001"/>
    <n v="125.05500000000001"/>
    <x v="26"/>
    <x v="225"/>
    <x v="0"/>
    <n v="119.1"/>
    <n v="4.7619047620000003"/>
    <x v="406"/>
    <n v="5.4"/>
  </r>
  <r>
    <x v="410"/>
    <s v="B"/>
    <x v="2"/>
    <x v="1"/>
    <x v="0"/>
    <x v="0"/>
    <n v="34.21"/>
    <n v="10"/>
    <n v="17.105"/>
    <n v="359.20499999999998"/>
    <x v="56"/>
    <x v="127"/>
    <x v="1"/>
    <n v="342.1"/>
    <n v="4.7619047620000003"/>
    <x v="407"/>
    <n v="5.0999999999999996"/>
  </r>
  <r>
    <x v="411"/>
    <s v="B"/>
    <x v="2"/>
    <x v="1"/>
    <x v="1"/>
    <x v="3"/>
    <n v="21.87"/>
    <n v="2"/>
    <n v="2.1869999999999998"/>
    <n v="45.927"/>
    <x v="25"/>
    <x v="194"/>
    <x v="0"/>
    <n v="43.74"/>
    <n v="4.7619047620000003"/>
    <x v="408"/>
    <n v="6.9"/>
  </r>
  <r>
    <x v="412"/>
    <s v="A"/>
    <x v="0"/>
    <x v="0"/>
    <x v="1"/>
    <x v="0"/>
    <n v="20.97"/>
    <n v="5"/>
    <n v="5.2424999999999997"/>
    <n v="110.0925"/>
    <x v="72"/>
    <x v="265"/>
    <x v="1"/>
    <n v="104.85"/>
    <n v="4.7619047620000003"/>
    <x v="409"/>
    <n v="7.8"/>
  </r>
  <r>
    <x v="413"/>
    <s v="A"/>
    <x v="0"/>
    <x v="1"/>
    <x v="1"/>
    <x v="3"/>
    <n v="25.84"/>
    <n v="3"/>
    <n v="3.8759999999999999"/>
    <n v="81.396000000000001"/>
    <x v="24"/>
    <x v="313"/>
    <x v="0"/>
    <n v="77.52"/>
    <n v="4.7619047620000003"/>
    <x v="410"/>
    <n v="6.6"/>
  </r>
  <r>
    <x v="414"/>
    <s v="A"/>
    <x v="0"/>
    <x v="1"/>
    <x v="1"/>
    <x v="2"/>
    <n v="50.93"/>
    <n v="8"/>
    <n v="20.372"/>
    <n v="427.81200000000001"/>
    <x v="23"/>
    <x v="314"/>
    <x v="0"/>
    <n v="407.44"/>
    <n v="4.7619047620000003"/>
    <x v="411"/>
    <n v="9.1999999999999993"/>
  </r>
  <r>
    <x v="415"/>
    <s v="B"/>
    <x v="2"/>
    <x v="1"/>
    <x v="1"/>
    <x v="0"/>
    <n v="96.11"/>
    <n v="1"/>
    <n v="4.8055000000000003"/>
    <n v="100.91549999999999"/>
    <x v="25"/>
    <x v="235"/>
    <x v="0"/>
    <n v="96.11"/>
    <n v="4.7619047620000003"/>
    <x v="412"/>
    <n v="7.8"/>
  </r>
  <r>
    <x v="416"/>
    <s v="C"/>
    <x v="1"/>
    <x v="1"/>
    <x v="0"/>
    <x v="2"/>
    <n v="45.38"/>
    <n v="4"/>
    <n v="9.0760000000000005"/>
    <n v="190.596"/>
    <x v="66"/>
    <x v="128"/>
    <x v="2"/>
    <n v="181.52"/>
    <n v="4.7619047620000003"/>
    <x v="413"/>
    <n v="8.6999999999999993"/>
  </r>
  <r>
    <x v="417"/>
    <s v="C"/>
    <x v="1"/>
    <x v="0"/>
    <x v="0"/>
    <x v="0"/>
    <n v="81.510000000000005"/>
    <n v="1"/>
    <n v="4.0754999999999999"/>
    <n v="85.585499999999996"/>
    <x v="49"/>
    <x v="315"/>
    <x v="0"/>
    <n v="81.510000000000005"/>
    <n v="4.7619047620000003"/>
    <x v="414"/>
    <n v="9.1999999999999993"/>
  </r>
  <r>
    <x v="418"/>
    <s v="B"/>
    <x v="2"/>
    <x v="1"/>
    <x v="0"/>
    <x v="0"/>
    <n v="57.22"/>
    <n v="2"/>
    <n v="5.7220000000000004"/>
    <n v="120.16200000000001"/>
    <x v="52"/>
    <x v="316"/>
    <x v="0"/>
    <n v="114.44"/>
    <n v="4.7619047620000003"/>
    <x v="415"/>
    <n v="8.3000000000000007"/>
  </r>
  <r>
    <x v="419"/>
    <s v="A"/>
    <x v="0"/>
    <x v="0"/>
    <x v="0"/>
    <x v="1"/>
    <n v="25.22"/>
    <n v="7"/>
    <n v="8.827"/>
    <n v="185.36699999999999"/>
    <x v="87"/>
    <x v="81"/>
    <x v="1"/>
    <n v="176.54"/>
    <n v="4.7619047620000003"/>
    <x v="416"/>
    <n v="8.1999999999999993"/>
  </r>
  <r>
    <x v="420"/>
    <s v="C"/>
    <x v="1"/>
    <x v="0"/>
    <x v="0"/>
    <x v="4"/>
    <n v="38.6"/>
    <n v="3"/>
    <n v="5.79"/>
    <n v="121.59"/>
    <x v="61"/>
    <x v="317"/>
    <x v="0"/>
    <n v="115.8"/>
    <n v="4.7619047620000003"/>
    <x v="417"/>
    <n v="7.5"/>
  </r>
  <r>
    <x v="421"/>
    <s v="C"/>
    <x v="1"/>
    <x v="1"/>
    <x v="0"/>
    <x v="1"/>
    <n v="84.05"/>
    <n v="3"/>
    <n v="12.6075"/>
    <n v="264.75749999999999"/>
    <x v="54"/>
    <x v="236"/>
    <x v="1"/>
    <n v="252.15"/>
    <n v="4.7619047620000003"/>
    <x v="418"/>
    <n v="9.8000000000000007"/>
  </r>
  <r>
    <x v="422"/>
    <s v="C"/>
    <x v="1"/>
    <x v="0"/>
    <x v="0"/>
    <x v="5"/>
    <n v="97.21"/>
    <n v="10"/>
    <n v="48.604999999999997"/>
    <n v="1020.705"/>
    <x v="4"/>
    <x v="127"/>
    <x v="2"/>
    <n v="972.1"/>
    <n v="4.7619047620000003"/>
    <x v="419"/>
    <n v="8.6999999999999993"/>
  </r>
  <r>
    <x v="423"/>
    <s v="B"/>
    <x v="2"/>
    <x v="0"/>
    <x v="1"/>
    <x v="5"/>
    <n v="25.42"/>
    <n v="8"/>
    <n v="10.167999999999999"/>
    <n v="213.52799999999999"/>
    <x v="35"/>
    <x v="144"/>
    <x v="2"/>
    <n v="203.36"/>
    <n v="4.7619047620000003"/>
    <x v="420"/>
    <n v="6.7"/>
  </r>
  <r>
    <x v="424"/>
    <s v="C"/>
    <x v="1"/>
    <x v="1"/>
    <x v="1"/>
    <x v="5"/>
    <n v="16.28"/>
    <n v="1"/>
    <n v="0.81399999999999995"/>
    <n v="17.094000000000001"/>
    <x v="11"/>
    <x v="29"/>
    <x v="1"/>
    <n v="16.28"/>
    <n v="4.7619047620000003"/>
    <x v="421"/>
    <n v="5"/>
  </r>
  <r>
    <x v="425"/>
    <s v="B"/>
    <x v="2"/>
    <x v="0"/>
    <x v="1"/>
    <x v="5"/>
    <n v="40.61"/>
    <n v="9"/>
    <n v="18.2745"/>
    <n v="383.7645"/>
    <x v="56"/>
    <x v="61"/>
    <x v="1"/>
    <n v="365.49"/>
    <n v="4.7619047620000003"/>
    <x v="422"/>
    <n v="7"/>
  </r>
  <r>
    <x v="426"/>
    <s v="A"/>
    <x v="0"/>
    <x v="0"/>
    <x v="1"/>
    <x v="0"/>
    <n v="53.17"/>
    <n v="7"/>
    <n v="18.609500000000001"/>
    <n v="390.79950000000002"/>
    <x v="18"/>
    <x v="240"/>
    <x v="1"/>
    <n v="372.19"/>
    <n v="4.7619047620000003"/>
    <x v="423"/>
    <n v="8.9"/>
  </r>
  <r>
    <x v="427"/>
    <s v="B"/>
    <x v="2"/>
    <x v="0"/>
    <x v="0"/>
    <x v="4"/>
    <n v="20.87"/>
    <n v="3"/>
    <n v="3.1305000000000001"/>
    <n v="65.740499999999997"/>
    <x v="80"/>
    <x v="318"/>
    <x v="2"/>
    <n v="62.61"/>
    <n v="4.7619047620000003"/>
    <x v="424"/>
    <n v="8"/>
  </r>
  <r>
    <x v="428"/>
    <s v="B"/>
    <x v="2"/>
    <x v="1"/>
    <x v="1"/>
    <x v="3"/>
    <n v="67.27"/>
    <n v="5"/>
    <n v="16.817499999999999"/>
    <n v="353.16750000000002"/>
    <x v="33"/>
    <x v="272"/>
    <x v="1"/>
    <n v="336.35"/>
    <n v="4.7619047620000003"/>
    <x v="425"/>
    <n v="6.9"/>
  </r>
  <r>
    <x v="429"/>
    <s v="A"/>
    <x v="0"/>
    <x v="0"/>
    <x v="0"/>
    <x v="2"/>
    <n v="90.65"/>
    <n v="10"/>
    <n v="45.325000000000003"/>
    <n v="951.82500000000005"/>
    <x v="1"/>
    <x v="164"/>
    <x v="0"/>
    <n v="906.5"/>
    <n v="4.7619047620000003"/>
    <x v="426"/>
    <n v="7.3"/>
  </r>
  <r>
    <x v="430"/>
    <s v="B"/>
    <x v="2"/>
    <x v="1"/>
    <x v="1"/>
    <x v="5"/>
    <n v="69.08"/>
    <n v="2"/>
    <n v="6.9080000000000004"/>
    <n v="145.06800000000001"/>
    <x v="82"/>
    <x v="28"/>
    <x v="2"/>
    <n v="138.16"/>
    <n v="4.7619047620000003"/>
    <x v="427"/>
    <n v="6.9"/>
  </r>
  <r>
    <x v="431"/>
    <s v="C"/>
    <x v="1"/>
    <x v="1"/>
    <x v="1"/>
    <x v="4"/>
    <n v="43.27"/>
    <n v="2"/>
    <n v="4.327"/>
    <n v="90.867000000000004"/>
    <x v="1"/>
    <x v="319"/>
    <x v="0"/>
    <n v="86.54"/>
    <n v="4.7619047620000003"/>
    <x v="428"/>
    <n v="5.7"/>
  </r>
  <r>
    <x v="432"/>
    <s v="A"/>
    <x v="0"/>
    <x v="1"/>
    <x v="0"/>
    <x v="1"/>
    <n v="23.46"/>
    <n v="6"/>
    <n v="7.0380000000000003"/>
    <n v="147.798"/>
    <x v="50"/>
    <x v="195"/>
    <x v="0"/>
    <n v="140.76"/>
    <n v="4.7619047620000003"/>
    <x v="429"/>
    <n v="6.4"/>
  </r>
  <r>
    <x v="433"/>
    <s v="B"/>
    <x v="2"/>
    <x v="1"/>
    <x v="1"/>
    <x v="5"/>
    <n v="95.54"/>
    <n v="7"/>
    <n v="33.439"/>
    <n v="702.21900000000005"/>
    <x v="11"/>
    <x v="6"/>
    <x v="2"/>
    <n v="668.78"/>
    <n v="4.7619047620000003"/>
    <x v="430"/>
    <n v="9.6"/>
  </r>
  <r>
    <x v="434"/>
    <s v="B"/>
    <x v="2"/>
    <x v="1"/>
    <x v="0"/>
    <x v="5"/>
    <n v="47.44"/>
    <n v="1"/>
    <n v="2.3719999999999999"/>
    <n v="49.811999999999998"/>
    <x v="70"/>
    <x v="96"/>
    <x v="2"/>
    <n v="47.44"/>
    <n v="4.7619047620000003"/>
    <x v="431"/>
    <n v="6.8"/>
  </r>
  <r>
    <x v="435"/>
    <s v="C"/>
    <x v="1"/>
    <x v="1"/>
    <x v="1"/>
    <x v="3"/>
    <n v="99.24"/>
    <n v="9"/>
    <n v="44.658000000000001"/>
    <n v="937.81799999999998"/>
    <x v="35"/>
    <x v="268"/>
    <x v="0"/>
    <n v="893.16"/>
    <n v="4.7619047620000003"/>
    <x v="432"/>
    <n v="9"/>
  </r>
  <r>
    <x v="436"/>
    <s v="C"/>
    <x v="1"/>
    <x v="0"/>
    <x v="1"/>
    <x v="3"/>
    <n v="82.93"/>
    <n v="4"/>
    <n v="16.585999999999999"/>
    <n v="348.30599999999998"/>
    <x v="40"/>
    <x v="320"/>
    <x v="0"/>
    <n v="331.72"/>
    <n v="4.7619047620000003"/>
    <x v="433"/>
    <n v="9.6"/>
  </r>
  <r>
    <x v="437"/>
    <s v="A"/>
    <x v="0"/>
    <x v="1"/>
    <x v="1"/>
    <x v="2"/>
    <n v="33.99"/>
    <n v="6"/>
    <n v="10.196999999999999"/>
    <n v="214.137"/>
    <x v="1"/>
    <x v="321"/>
    <x v="2"/>
    <n v="203.94"/>
    <n v="4.7619047620000003"/>
    <x v="434"/>
    <n v="7.7"/>
  </r>
  <r>
    <x v="438"/>
    <s v="C"/>
    <x v="1"/>
    <x v="0"/>
    <x v="1"/>
    <x v="4"/>
    <n v="17.04"/>
    <n v="4"/>
    <n v="3.4079999999999999"/>
    <n v="71.567999999999998"/>
    <x v="1"/>
    <x v="322"/>
    <x v="0"/>
    <n v="68.16"/>
    <n v="4.7619047620000003"/>
    <x v="435"/>
    <n v="7"/>
  </r>
  <r>
    <x v="439"/>
    <s v="C"/>
    <x v="1"/>
    <x v="1"/>
    <x v="0"/>
    <x v="1"/>
    <n v="40.86"/>
    <n v="8"/>
    <n v="16.344000000000001"/>
    <n v="343.22399999999999"/>
    <x v="13"/>
    <x v="242"/>
    <x v="2"/>
    <n v="326.88"/>
    <n v="4.7619047620000003"/>
    <x v="436"/>
    <n v="6.5"/>
  </r>
  <r>
    <x v="440"/>
    <s v="C"/>
    <x v="1"/>
    <x v="0"/>
    <x v="1"/>
    <x v="4"/>
    <n v="17.440000000000001"/>
    <n v="5"/>
    <n v="4.3600000000000003"/>
    <n v="91.56"/>
    <x v="15"/>
    <x v="126"/>
    <x v="1"/>
    <n v="87.2"/>
    <n v="4.7619047620000003"/>
    <x v="437"/>
    <n v="8.1"/>
  </r>
  <r>
    <x v="441"/>
    <s v="B"/>
    <x v="2"/>
    <x v="0"/>
    <x v="0"/>
    <x v="3"/>
    <n v="88.43"/>
    <n v="8"/>
    <n v="35.372"/>
    <n v="742.81200000000001"/>
    <x v="23"/>
    <x v="323"/>
    <x v="2"/>
    <n v="707.44"/>
    <n v="4.7619047620000003"/>
    <x v="438"/>
    <n v="4.3"/>
  </r>
  <r>
    <x v="442"/>
    <s v="A"/>
    <x v="0"/>
    <x v="0"/>
    <x v="0"/>
    <x v="2"/>
    <n v="89.21"/>
    <n v="9"/>
    <n v="40.144500000000001"/>
    <n v="843.03449999999998"/>
    <x v="15"/>
    <x v="324"/>
    <x v="2"/>
    <n v="802.89"/>
    <n v="4.7619047620000003"/>
    <x v="439"/>
    <n v="6.5"/>
  </r>
  <r>
    <x v="443"/>
    <s v="C"/>
    <x v="1"/>
    <x v="1"/>
    <x v="1"/>
    <x v="5"/>
    <n v="12.78"/>
    <n v="1"/>
    <n v="0.63900000000000001"/>
    <n v="13.419"/>
    <x v="66"/>
    <x v="325"/>
    <x v="0"/>
    <n v="12.78"/>
    <n v="4.7619047620000003"/>
    <x v="440"/>
    <n v="9.5"/>
  </r>
  <r>
    <x v="444"/>
    <s v="A"/>
    <x v="0"/>
    <x v="1"/>
    <x v="0"/>
    <x v="3"/>
    <n v="19.100000000000001"/>
    <n v="7"/>
    <n v="6.6849999999999996"/>
    <n v="140.38499999999999"/>
    <x v="15"/>
    <x v="100"/>
    <x v="1"/>
    <n v="133.69999999999999"/>
    <n v="4.7619047620000003"/>
    <x v="441"/>
    <n v="9.6999999999999993"/>
  </r>
  <r>
    <x v="445"/>
    <s v="B"/>
    <x v="2"/>
    <x v="0"/>
    <x v="0"/>
    <x v="0"/>
    <n v="19.149999999999999"/>
    <n v="1"/>
    <n v="0.95750000000000002"/>
    <n v="20.107500000000002"/>
    <x v="26"/>
    <x v="326"/>
    <x v="2"/>
    <n v="19.149999999999999"/>
    <n v="4.7619047620000003"/>
    <x v="442"/>
    <n v="9.5"/>
  </r>
  <r>
    <x v="446"/>
    <s v="C"/>
    <x v="1"/>
    <x v="0"/>
    <x v="1"/>
    <x v="4"/>
    <n v="27.66"/>
    <n v="10"/>
    <n v="13.83"/>
    <n v="290.43"/>
    <x v="44"/>
    <x v="55"/>
    <x v="2"/>
    <n v="276.60000000000002"/>
    <n v="4.7619047620000003"/>
    <x v="443"/>
    <n v="8.9"/>
  </r>
  <r>
    <x v="447"/>
    <s v="C"/>
    <x v="1"/>
    <x v="1"/>
    <x v="1"/>
    <x v="5"/>
    <n v="45.74"/>
    <n v="3"/>
    <n v="6.8609999999999998"/>
    <n v="144.08099999999999"/>
    <x v="24"/>
    <x v="180"/>
    <x v="2"/>
    <n v="137.22"/>
    <n v="4.7619047620000003"/>
    <x v="444"/>
    <n v="6.5"/>
  </r>
  <r>
    <x v="448"/>
    <s v="B"/>
    <x v="2"/>
    <x v="0"/>
    <x v="0"/>
    <x v="0"/>
    <n v="27.07"/>
    <n v="1"/>
    <n v="1.3534999999999999"/>
    <n v="28.423500000000001"/>
    <x v="52"/>
    <x v="105"/>
    <x v="2"/>
    <n v="27.07"/>
    <n v="4.7619047620000003"/>
    <x v="445"/>
    <n v="5.3"/>
  </r>
  <r>
    <x v="449"/>
    <s v="B"/>
    <x v="2"/>
    <x v="0"/>
    <x v="0"/>
    <x v="3"/>
    <n v="39.119999999999997"/>
    <n v="1"/>
    <n v="1.956"/>
    <n v="41.076000000000001"/>
    <x v="58"/>
    <x v="327"/>
    <x v="2"/>
    <n v="39.119999999999997"/>
    <n v="4.7619047620000003"/>
    <x v="446"/>
    <n v="9.6"/>
  </r>
  <r>
    <x v="450"/>
    <s v="B"/>
    <x v="2"/>
    <x v="1"/>
    <x v="0"/>
    <x v="1"/>
    <n v="74.709999999999994"/>
    <n v="6"/>
    <n v="22.413"/>
    <n v="470.673"/>
    <x v="17"/>
    <x v="312"/>
    <x v="1"/>
    <n v="448.26"/>
    <n v="4.7619047620000003"/>
    <x v="447"/>
    <n v="6.7"/>
  </r>
  <r>
    <x v="451"/>
    <s v="B"/>
    <x v="2"/>
    <x v="1"/>
    <x v="1"/>
    <x v="1"/>
    <n v="22.01"/>
    <n v="6"/>
    <n v="6.6029999999999998"/>
    <n v="138.66300000000001"/>
    <x v="56"/>
    <x v="68"/>
    <x v="1"/>
    <n v="132.06"/>
    <n v="4.7619047620000003"/>
    <x v="448"/>
    <n v="7.6"/>
  </r>
  <r>
    <x v="452"/>
    <s v="A"/>
    <x v="0"/>
    <x v="1"/>
    <x v="0"/>
    <x v="4"/>
    <n v="63.61"/>
    <n v="5"/>
    <n v="15.9025"/>
    <n v="333.95249999999999"/>
    <x v="32"/>
    <x v="31"/>
    <x v="0"/>
    <n v="318.05"/>
    <n v="4.7619047620000003"/>
    <x v="449"/>
    <n v="4.8"/>
  </r>
  <r>
    <x v="453"/>
    <s v="A"/>
    <x v="0"/>
    <x v="1"/>
    <x v="1"/>
    <x v="0"/>
    <n v="25"/>
    <n v="1"/>
    <n v="1.25"/>
    <n v="26.25"/>
    <x v="2"/>
    <x v="328"/>
    <x v="0"/>
    <n v="25"/>
    <n v="4.7619047620000003"/>
    <x v="450"/>
    <n v="5.5"/>
  </r>
  <r>
    <x v="454"/>
    <s v="A"/>
    <x v="0"/>
    <x v="0"/>
    <x v="1"/>
    <x v="1"/>
    <n v="20.77"/>
    <n v="4"/>
    <n v="4.1539999999999999"/>
    <n v="87.233999999999995"/>
    <x v="82"/>
    <x v="329"/>
    <x v="1"/>
    <n v="83.08"/>
    <n v="4.7619047620000003"/>
    <x v="451"/>
    <n v="4.7"/>
  </r>
  <r>
    <x v="455"/>
    <s v="B"/>
    <x v="2"/>
    <x v="0"/>
    <x v="0"/>
    <x v="5"/>
    <n v="29.56"/>
    <n v="5"/>
    <n v="7.39"/>
    <n v="155.19"/>
    <x v="77"/>
    <x v="330"/>
    <x v="1"/>
    <n v="147.80000000000001"/>
    <n v="4.7619047620000003"/>
    <x v="452"/>
    <n v="6.9"/>
  </r>
  <r>
    <x v="456"/>
    <s v="B"/>
    <x v="2"/>
    <x v="0"/>
    <x v="0"/>
    <x v="4"/>
    <n v="77.400000000000006"/>
    <n v="9"/>
    <n v="34.83"/>
    <n v="731.43"/>
    <x v="42"/>
    <x v="331"/>
    <x v="2"/>
    <n v="696.6"/>
    <n v="4.7619047620000003"/>
    <x v="453"/>
    <n v="4.5"/>
  </r>
  <r>
    <x v="457"/>
    <s v="B"/>
    <x v="2"/>
    <x v="1"/>
    <x v="1"/>
    <x v="1"/>
    <n v="79.39"/>
    <n v="10"/>
    <n v="39.695"/>
    <n v="833.59500000000003"/>
    <x v="13"/>
    <x v="181"/>
    <x v="1"/>
    <n v="793.9"/>
    <n v="4.7619047620000003"/>
    <x v="454"/>
    <n v="6.2"/>
  </r>
  <r>
    <x v="458"/>
    <s v="C"/>
    <x v="1"/>
    <x v="0"/>
    <x v="0"/>
    <x v="1"/>
    <n v="46.57"/>
    <n v="10"/>
    <n v="23.285"/>
    <n v="488.98500000000001"/>
    <x v="3"/>
    <x v="139"/>
    <x v="1"/>
    <n v="465.7"/>
    <n v="4.7619047620000003"/>
    <x v="455"/>
    <n v="7.6"/>
  </r>
  <r>
    <x v="459"/>
    <s v="C"/>
    <x v="1"/>
    <x v="1"/>
    <x v="1"/>
    <x v="4"/>
    <n v="35.89"/>
    <n v="1"/>
    <n v="1.7945"/>
    <n v="37.6845"/>
    <x v="55"/>
    <x v="233"/>
    <x v="2"/>
    <n v="35.89"/>
    <n v="4.7619047620000003"/>
    <x v="456"/>
    <n v="7.9"/>
  </r>
  <r>
    <x v="460"/>
    <s v="C"/>
    <x v="1"/>
    <x v="1"/>
    <x v="1"/>
    <x v="4"/>
    <n v="40.520000000000003"/>
    <n v="5"/>
    <n v="10.130000000000001"/>
    <n v="212.73"/>
    <x v="36"/>
    <x v="332"/>
    <x v="1"/>
    <n v="202.6"/>
    <n v="4.7619047620000003"/>
    <x v="457"/>
    <n v="4.5"/>
  </r>
  <r>
    <x v="461"/>
    <s v="B"/>
    <x v="2"/>
    <x v="0"/>
    <x v="0"/>
    <x v="4"/>
    <n v="73.05"/>
    <n v="10"/>
    <n v="36.524999999999999"/>
    <n v="767.02499999999998"/>
    <x v="2"/>
    <x v="298"/>
    <x v="2"/>
    <n v="730.5"/>
    <n v="4.7619047620000003"/>
    <x v="458"/>
    <n v="8.6999999999999993"/>
  </r>
  <r>
    <x v="462"/>
    <s v="C"/>
    <x v="1"/>
    <x v="1"/>
    <x v="0"/>
    <x v="3"/>
    <n v="73.95"/>
    <n v="4"/>
    <n v="14.79"/>
    <n v="310.58999999999997"/>
    <x v="36"/>
    <x v="177"/>
    <x v="1"/>
    <n v="295.8"/>
    <n v="4.7619047620000003"/>
    <x v="459"/>
    <n v="6.1"/>
  </r>
  <r>
    <x v="463"/>
    <s v="C"/>
    <x v="1"/>
    <x v="0"/>
    <x v="0"/>
    <x v="4"/>
    <n v="22.62"/>
    <n v="1"/>
    <n v="1.131"/>
    <n v="23.751000000000001"/>
    <x v="85"/>
    <x v="262"/>
    <x v="1"/>
    <n v="22.62"/>
    <n v="4.7619047620000003"/>
    <x v="460"/>
    <n v="6.4"/>
  </r>
  <r>
    <x v="464"/>
    <s v="A"/>
    <x v="0"/>
    <x v="0"/>
    <x v="1"/>
    <x v="4"/>
    <n v="51.34"/>
    <n v="5"/>
    <n v="12.835000000000001"/>
    <n v="269.53500000000003"/>
    <x v="61"/>
    <x v="26"/>
    <x v="2"/>
    <n v="256.7"/>
    <n v="4.7619047620000003"/>
    <x v="461"/>
    <n v="9.1"/>
  </r>
  <r>
    <x v="465"/>
    <s v="C"/>
    <x v="1"/>
    <x v="0"/>
    <x v="0"/>
    <x v="3"/>
    <n v="54.55"/>
    <n v="10"/>
    <n v="27.274999999999999"/>
    <n v="572.77499999999998"/>
    <x v="22"/>
    <x v="218"/>
    <x v="2"/>
    <n v="545.5"/>
    <n v="4.7619047620000003"/>
    <x v="462"/>
    <n v="7.1"/>
  </r>
  <r>
    <x v="466"/>
    <s v="C"/>
    <x v="1"/>
    <x v="0"/>
    <x v="0"/>
    <x v="0"/>
    <n v="37.15"/>
    <n v="7"/>
    <n v="13.0025"/>
    <n v="273.05250000000001"/>
    <x v="4"/>
    <x v="258"/>
    <x v="2"/>
    <n v="260.05"/>
    <n v="4.7619047620000003"/>
    <x v="463"/>
    <n v="7.7"/>
  </r>
  <r>
    <x v="467"/>
    <s v="B"/>
    <x v="2"/>
    <x v="1"/>
    <x v="1"/>
    <x v="3"/>
    <n v="37.020000000000003"/>
    <n v="6"/>
    <n v="11.106"/>
    <n v="233.226"/>
    <x v="23"/>
    <x v="333"/>
    <x v="1"/>
    <n v="222.12"/>
    <n v="4.7619047620000003"/>
    <x v="464"/>
    <n v="4.5"/>
  </r>
  <r>
    <x v="468"/>
    <s v="C"/>
    <x v="1"/>
    <x v="1"/>
    <x v="1"/>
    <x v="4"/>
    <n v="21.58"/>
    <n v="1"/>
    <n v="1.079"/>
    <n v="22.658999999999999"/>
    <x v="57"/>
    <x v="177"/>
    <x v="0"/>
    <n v="21.58"/>
    <n v="4.7619047620000003"/>
    <x v="465"/>
    <n v="7.2"/>
  </r>
  <r>
    <x v="469"/>
    <s v="C"/>
    <x v="1"/>
    <x v="0"/>
    <x v="0"/>
    <x v="1"/>
    <n v="98.84"/>
    <n v="1"/>
    <n v="4.9420000000000002"/>
    <n v="103.782"/>
    <x v="42"/>
    <x v="274"/>
    <x v="1"/>
    <n v="98.84"/>
    <n v="4.7619047620000003"/>
    <x v="466"/>
    <n v="8.4"/>
  </r>
  <r>
    <x v="470"/>
    <s v="C"/>
    <x v="1"/>
    <x v="0"/>
    <x v="0"/>
    <x v="2"/>
    <n v="83.77"/>
    <n v="6"/>
    <n v="25.131"/>
    <n v="527.75099999999998"/>
    <x v="54"/>
    <x v="334"/>
    <x v="0"/>
    <n v="502.62"/>
    <n v="4.7619047620000003"/>
    <x v="467"/>
    <n v="5.4"/>
  </r>
  <r>
    <x v="471"/>
    <s v="A"/>
    <x v="0"/>
    <x v="0"/>
    <x v="0"/>
    <x v="3"/>
    <n v="40.049999999999997"/>
    <n v="4"/>
    <n v="8.01"/>
    <n v="168.21"/>
    <x v="25"/>
    <x v="335"/>
    <x v="1"/>
    <n v="160.19999999999999"/>
    <n v="4.7619047620000003"/>
    <x v="468"/>
    <n v="9.6999999999999993"/>
  </r>
  <r>
    <x v="472"/>
    <s v="A"/>
    <x v="0"/>
    <x v="0"/>
    <x v="1"/>
    <x v="5"/>
    <n v="43.13"/>
    <n v="10"/>
    <n v="21.565000000000001"/>
    <n v="452.86500000000001"/>
    <x v="30"/>
    <x v="201"/>
    <x v="2"/>
    <n v="431.3"/>
    <n v="4.7619047620000003"/>
    <x v="469"/>
    <n v="5.5"/>
  </r>
  <r>
    <x v="473"/>
    <s v="B"/>
    <x v="2"/>
    <x v="0"/>
    <x v="1"/>
    <x v="0"/>
    <n v="72.569999999999993"/>
    <n v="8"/>
    <n v="29.027999999999999"/>
    <n v="609.58799999999997"/>
    <x v="73"/>
    <x v="326"/>
    <x v="1"/>
    <n v="580.55999999999995"/>
    <n v="4.7619047620000003"/>
    <x v="470"/>
    <n v="4.5999999999999996"/>
  </r>
  <r>
    <x v="474"/>
    <s v="A"/>
    <x v="0"/>
    <x v="0"/>
    <x v="0"/>
    <x v="1"/>
    <n v="64.44"/>
    <n v="5"/>
    <n v="16.11"/>
    <n v="338.31"/>
    <x v="73"/>
    <x v="72"/>
    <x v="1"/>
    <n v="322.2"/>
    <n v="4.7619047620000003"/>
    <x v="471"/>
    <n v="6.6"/>
  </r>
  <r>
    <x v="475"/>
    <s v="A"/>
    <x v="0"/>
    <x v="1"/>
    <x v="1"/>
    <x v="0"/>
    <n v="65.180000000000007"/>
    <n v="3"/>
    <n v="9.7769999999999992"/>
    <n v="205.31700000000001"/>
    <x v="6"/>
    <x v="82"/>
    <x v="2"/>
    <n v="195.54"/>
    <n v="4.7619047620000003"/>
    <x v="472"/>
    <n v="6.3"/>
  </r>
  <r>
    <x v="476"/>
    <s v="A"/>
    <x v="0"/>
    <x v="1"/>
    <x v="0"/>
    <x v="3"/>
    <n v="33.26"/>
    <n v="5"/>
    <n v="8.3149999999999995"/>
    <n v="174.61500000000001"/>
    <x v="79"/>
    <x v="279"/>
    <x v="2"/>
    <n v="166.3"/>
    <n v="4.7619047620000003"/>
    <x v="473"/>
    <n v="4.2"/>
  </r>
  <r>
    <x v="477"/>
    <s v="C"/>
    <x v="1"/>
    <x v="1"/>
    <x v="1"/>
    <x v="1"/>
    <n v="84.07"/>
    <n v="4"/>
    <n v="16.814"/>
    <n v="353.09399999999999"/>
    <x v="37"/>
    <x v="336"/>
    <x v="0"/>
    <n v="336.28"/>
    <n v="4.7619047620000003"/>
    <x v="474"/>
    <n v="4.4000000000000004"/>
  </r>
  <r>
    <x v="478"/>
    <s v="B"/>
    <x v="2"/>
    <x v="1"/>
    <x v="1"/>
    <x v="3"/>
    <n v="34.369999999999997"/>
    <n v="10"/>
    <n v="17.184999999999999"/>
    <n v="360.88499999999999"/>
    <x v="32"/>
    <x v="41"/>
    <x v="0"/>
    <n v="343.7"/>
    <n v="4.7619047620000003"/>
    <x v="475"/>
    <n v="6.7"/>
  </r>
  <r>
    <x v="479"/>
    <s v="A"/>
    <x v="0"/>
    <x v="1"/>
    <x v="1"/>
    <x v="1"/>
    <n v="38.6"/>
    <n v="1"/>
    <n v="1.93"/>
    <n v="40.53"/>
    <x v="71"/>
    <x v="55"/>
    <x v="0"/>
    <n v="38.6"/>
    <n v="4.7619047620000003"/>
    <x v="476"/>
    <n v="6.7"/>
  </r>
  <r>
    <x v="480"/>
    <s v="C"/>
    <x v="1"/>
    <x v="1"/>
    <x v="1"/>
    <x v="4"/>
    <n v="65.97"/>
    <n v="8"/>
    <n v="26.388000000000002"/>
    <n v="554.14800000000002"/>
    <x v="30"/>
    <x v="245"/>
    <x v="1"/>
    <n v="527.76"/>
    <n v="4.7619047620000003"/>
    <x v="477"/>
    <n v="8.4"/>
  </r>
  <r>
    <x v="481"/>
    <s v="C"/>
    <x v="1"/>
    <x v="1"/>
    <x v="0"/>
    <x v="1"/>
    <n v="32.799999999999997"/>
    <n v="10"/>
    <n v="16.399999999999999"/>
    <n v="344.4"/>
    <x v="42"/>
    <x v="294"/>
    <x v="1"/>
    <n v="328"/>
    <n v="4.7619047620000003"/>
    <x v="478"/>
    <n v="6.2"/>
  </r>
  <r>
    <x v="482"/>
    <s v="A"/>
    <x v="0"/>
    <x v="1"/>
    <x v="1"/>
    <x v="3"/>
    <n v="37.14"/>
    <n v="5"/>
    <n v="9.2850000000000001"/>
    <n v="194.98500000000001"/>
    <x v="66"/>
    <x v="137"/>
    <x v="0"/>
    <n v="185.7"/>
    <n v="4.7619047620000003"/>
    <x v="479"/>
    <n v="5"/>
  </r>
  <r>
    <x v="483"/>
    <s v="B"/>
    <x v="2"/>
    <x v="0"/>
    <x v="1"/>
    <x v="2"/>
    <n v="60.38"/>
    <n v="10"/>
    <n v="30.19"/>
    <n v="633.99"/>
    <x v="12"/>
    <x v="15"/>
    <x v="1"/>
    <n v="603.79999999999995"/>
    <n v="4.7619047620000003"/>
    <x v="480"/>
    <n v="6"/>
  </r>
  <r>
    <x v="484"/>
    <s v="C"/>
    <x v="1"/>
    <x v="0"/>
    <x v="0"/>
    <x v="3"/>
    <n v="36.979999999999997"/>
    <n v="10"/>
    <n v="18.489999999999998"/>
    <n v="388.29"/>
    <x v="17"/>
    <x v="28"/>
    <x v="2"/>
    <n v="369.8"/>
    <n v="4.7619047620000003"/>
    <x v="481"/>
    <n v="7"/>
  </r>
  <r>
    <x v="485"/>
    <s v="B"/>
    <x v="2"/>
    <x v="0"/>
    <x v="0"/>
    <x v="3"/>
    <n v="49.49"/>
    <n v="4"/>
    <n v="9.8979999999999997"/>
    <n v="207.858"/>
    <x v="76"/>
    <x v="337"/>
    <x v="0"/>
    <n v="197.96"/>
    <n v="4.7619047620000003"/>
    <x v="482"/>
    <n v="6.6"/>
  </r>
  <r>
    <x v="486"/>
    <s v="B"/>
    <x v="2"/>
    <x v="1"/>
    <x v="0"/>
    <x v="5"/>
    <n v="41.09"/>
    <n v="10"/>
    <n v="20.545000000000002"/>
    <n v="431.44499999999999"/>
    <x v="38"/>
    <x v="51"/>
    <x v="1"/>
    <n v="410.9"/>
    <n v="4.7619047620000003"/>
    <x v="483"/>
    <n v="7.3"/>
  </r>
  <r>
    <x v="487"/>
    <s v="A"/>
    <x v="0"/>
    <x v="1"/>
    <x v="1"/>
    <x v="5"/>
    <n v="37.15"/>
    <n v="4"/>
    <n v="7.43"/>
    <n v="156.03"/>
    <x v="28"/>
    <x v="188"/>
    <x v="0"/>
    <n v="148.6"/>
    <n v="4.7619047620000003"/>
    <x v="484"/>
    <n v="8.3000000000000007"/>
  </r>
  <r>
    <x v="488"/>
    <s v="C"/>
    <x v="1"/>
    <x v="1"/>
    <x v="1"/>
    <x v="2"/>
    <n v="22.96"/>
    <n v="1"/>
    <n v="1.1479999999999999"/>
    <n v="24.108000000000001"/>
    <x v="74"/>
    <x v="338"/>
    <x v="1"/>
    <n v="22.96"/>
    <n v="4.7619047620000003"/>
    <x v="485"/>
    <n v="4.3"/>
  </r>
  <r>
    <x v="489"/>
    <s v="B"/>
    <x v="2"/>
    <x v="0"/>
    <x v="0"/>
    <x v="2"/>
    <n v="77.680000000000007"/>
    <n v="9"/>
    <n v="34.956000000000003"/>
    <n v="734.07600000000002"/>
    <x v="87"/>
    <x v="265"/>
    <x v="0"/>
    <n v="699.12"/>
    <n v="4.7619047620000003"/>
    <x v="486"/>
    <n v="9.8000000000000007"/>
  </r>
  <r>
    <x v="490"/>
    <s v="B"/>
    <x v="2"/>
    <x v="1"/>
    <x v="0"/>
    <x v="5"/>
    <n v="34.700000000000003"/>
    <n v="2"/>
    <n v="3.47"/>
    <n v="72.87"/>
    <x v="45"/>
    <x v="28"/>
    <x v="0"/>
    <n v="69.400000000000006"/>
    <n v="4.7619047620000003"/>
    <x v="487"/>
    <n v="8.1999999999999993"/>
  </r>
  <r>
    <x v="491"/>
    <s v="A"/>
    <x v="0"/>
    <x v="0"/>
    <x v="0"/>
    <x v="5"/>
    <n v="19.66"/>
    <n v="10"/>
    <n v="9.83"/>
    <n v="206.43"/>
    <x v="20"/>
    <x v="339"/>
    <x v="2"/>
    <n v="196.6"/>
    <n v="4.7619047620000003"/>
    <x v="488"/>
    <n v="7.2"/>
  </r>
  <r>
    <x v="492"/>
    <s v="B"/>
    <x v="2"/>
    <x v="0"/>
    <x v="0"/>
    <x v="0"/>
    <n v="25.32"/>
    <n v="8"/>
    <n v="10.128"/>
    <n v="212.68799999999999"/>
    <x v="19"/>
    <x v="181"/>
    <x v="0"/>
    <n v="202.56"/>
    <n v="4.7619047620000003"/>
    <x v="489"/>
    <n v="8.6999999999999993"/>
  </r>
  <r>
    <x v="493"/>
    <s v="C"/>
    <x v="1"/>
    <x v="0"/>
    <x v="0"/>
    <x v="2"/>
    <n v="12.12"/>
    <n v="10"/>
    <n v="6.06"/>
    <n v="127.26"/>
    <x v="19"/>
    <x v="189"/>
    <x v="2"/>
    <n v="121.2"/>
    <n v="4.7619047620000003"/>
    <x v="490"/>
    <n v="8.4"/>
  </r>
  <r>
    <x v="494"/>
    <s v="B"/>
    <x v="2"/>
    <x v="1"/>
    <x v="1"/>
    <x v="5"/>
    <n v="99.89"/>
    <n v="2"/>
    <n v="9.9890000000000008"/>
    <n v="209.76900000000001"/>
    <x v="84"/>
    <x v="340"/>
    <x v="0"/>
    <n v="199.78"/>
    <n v="4.7619047620000003"/>
    <x v="491"/>
    <n v="7.1"/>
  </r>
  <r>
    <x v="495"/>
    <s v="B"/>
    <x v="2"/>
    <x v="1"/>
    <x v="1"/>
    <x v="3"/>
    <n v="75.92"/>
    <n v="8"/>
    <n v="30.367999999999999"/>
    <n v="637.72799999999995"/>
    <x v="80"/>
    <x v="341"/>
    <x v="1"/>
    <n v="607.36"/>
    <n v="4.7619047620000003"/>
    <x v="492"/>
    <n v="5.5"/>
  </r>
  <r>
    <x v="496"/>
    <s v="C"/>
    <x v="1"/>
    <x v="1"/>
    <x v="0"/>
    <x v="1"/>
    <n v="63.22"/>
    <n v="2"/>
    <n v="6.3220000000000001"/>
    <n v="132.762"/>
    <x v="17"/>
    <x v="232"/>
    <x v="1"/>
    <n v="126.44"/>
    <n v="4.7619047620000003"/>
    <x v="493"/>
    <n v="8.5"/>
  </r>
  <r>
    <x v="497"/>
    <s v="C"/>
    <x v="1"/>
    <x v="1"/>
    <x v="0"/>
    <x v="4"/>
    <n v="90.24"/>
    <n v="6"/>
    <n v="27.071999999999999"/>
    <n v="568.51199999999994"/>
    <x v="3"/>
    <x v="342"/>
    <x v="1"/>
    <n v="541.44000000000005"/>
    <n v="4.7619047620000003"/>
    <x v="494"/>
    <n v="6.2"/>
  </r>
  <r>
    <x v="498"/>
    <s v="B"/>
    <x v="2"/>
    <x v="0"/>
    <x v="0"/>
    <x v="3"/>
    <n v="98.13"/>
    <n v="1"/>
    <n v="4.9065000000000003"/>
    <n v="103.0365"/>
    <x v="18"/>
    <x v="24"/>
    <x v="1"/>
    <n v="98.13"/>
    <n v="4.7619047620000003"/>
    <x v="495"/>
    <n v="8.9"/>
  </r>
  <r>
    <x v="499"/>
    <s v="A"/>
    <x v="0"/>
    <x v="0"/>
    <x v="0"/>
    <x v="3"/>
    <n v="51.52"/>
    <n v="8"/>
    <n v="20.608000000000001"/>
    <n v="432.76799999999997"/>
    <x v="30"/>
    <x v="46"/>
    <x v="1"/>
    <n v="412.16"/>
    <n v="4.7619047620000003"/>
    <x v="496"/>
    <n v="9.6"/>
  </r>
  <r>
    <x v="500"/>
    <s v="B"/>
    <x v="2"/>
    <x v="0"/>
    <x v="1"/>
    <x v="3"/>
    <n v="73.97"/>
    <n v="1"/>
    <n v="3.6985000000000001"/>
    <n v="77.668499999999995"/>
    <x v="36"/>
    <x v="183"/>
    <x v="2"/>
    <n v="73.97"/>
    <n v="4.7619047620000003"/>
    <x v="497"/>
    <n v="5.4"/>
  </r>
  <r>
    <x v="501"/>
    <s v="C"/>
    <x v="1"/>
    <x v="0"/>
    <x v="0"/>
    <x v="5"/>
    <n v="31.9"/>
    <n v="1"/>
    <n v="1.595"/>
    <n v="33.494999999999997"/>
    <x v="0"/>
    <x v="343"/>
    <x v="0"/>
    <n v="31.9"/>
    <n v="4.7619047620000003"/>
    <x v="498"/>
    <n v="9.1"/>
  </r>
  <r>
    <x v="502"/>
    <s v="C"/>
    <x v="1"/>
    <x v="1"/>
    <x v="1"/>
    <x v="2"/>
    <n v="69.400000000000006"/>
    <n v="2"/>
    <n v="6.94"/>
    <n v="145.74"/>
    <x v="3"/>
    <x v="28"/>
    <x v="0"/>
    <n v="138.80000000000001"/>
    <n v="4.7619047620000003"/>
    <x v="499"/>
    <n v="9"/>
  </r>
  <r>
    <x v="503"/>
    <s v="B"/>
    <x v="2"/>
    <x v="1"/>
    <x v="0"/>
    <x v="3"/>
    <n v="93.31"/>
    <n v="2"/>
    <n v="9.3309999999999995"/>
    <n v="195.95099999999999"/>
    <x v="5"/>
    <x v="344"/>
    <x v="1"/>
    <n v="186.62"/>
    <n v="4.7619047620000003"/>
    <x v="500"/>
    <n v="6.3"/>
  </r>
  <r>
    <x v="504"/>
    <s v="B"/>
    <x v="2"/>
    <x v="1"/>
    <x v="1"/>
    <x v="3"/>
    <n v="88.45"/>
    <n v="1"/>
    <n v="4.4225000000000003"/>
    <n v="92.872500000000002"/>
    <x v="6"/>
    <x v="345"/>
    <x v="2"/>
    <n v="88.45"/>
    <n v="4.7619047620000003"/>
    <x v="501"/>
    <n v="9.5"/>
  </r>
  <r>
    <x v="505"/>
    <s v="A"/>
    <x v="0"/>
    <x v="0"/>
    <x v="1"/>
    <x v="1"/>
    <n v="24.18"/>
    <n v="8"/>
    <n v="9.6720000000000006"/>
    <n v="203.11199999999999"/>
    <x v="26"/>
    <x v="98"/>
    <x v="0"/>
    <n v="193.44"/>
    <n v="4.7619047620000003"/>
    <x v="502"/>
    <n v="9.8000000000000007"/>
  </r>
  <r>
    <x v="506"/>
    <s v="B"/>
    <x v="2"/>
    <x v="0"/>
    <x v="0"/>
    <x v="3"/>
    <n v="48.5"/>
    <n v="3"/>
    <n v="7.2750000000000004"/>
    <n v="152.77500000000001"/>
    <x v="66"/>
    <x v="165"/>
    <x v="1"/>
    <n v="145.5"/>
    <n v="4.7619047620000003"/>
    <x v="503"/>
    <n v="6.7"/>
  </r>
  <r>
    <x v="507"/>
    <s v="B"/>
    <x v="2"/>
    <x v="1"/>
    <x v="0"/>
    <x v="4"/>
    <n v="84.05"/>
    <n v="6"/>
    <n v="25.215"/>
    <n v="529.51499999999999"/>
    <x v="71"/>
    <x v="346"/>
    <x v="2"/>
    <n v="504.3"/>
    <n v="4.7619047620000003"/>
    <x v="504"/>
    <n v="7.7"/>
  </r>
  <r>
    <x v="508"/>
    <s v="B"/>
    <x v="2"/>
    <x v="0"/>
    <x v="1"/>
    <x v="0"/>
    <n v="61.29"/>
    <n v="5"/>
    <n v="15.3225"/>
    <n v="321.77249999999998"/>
    <x v="14"/>
    <x v="296"/>
    <x v="1"/>
    <n v="306.45"/>
    <n v="4.7619047620000003"/>
    <x v="505"/>
    <n v="7"/>
  </r>
  <r>
    <x v="509"/>
    <s v="C"/>
    <x v="1"/>
    <x v="0"/>
    <x v="0"/>
    <x v="2"/>
    <n v="15.95"/>
    <n v="6"/>
    <n v="4.7850000000000001"/>
    <n v="100.485"/>
    <x v="57"/>
    <x v="8"/>
    <x v="2"/>
    <n v="95.7"/>
    <n v="4.7619047620000003"/>
    <x v="506"/>
    <n v="5.0999999999999996"/>
  </r>
  <r>
    <x v="510"/>
    <s v="B"/>
    <x v="2"/>
    <x v="0"/>
    <x v="0"/>
    <x v="3"/>
    <n v="90.74"/>
    <n v="7"/>
    <n v="31.759"/>
    <n v="666.93899999999996"/>
    <x v="65"/>
    <x v="172"/>
    <x v="2"/>
    <n v="635.17999999999995"/>
    <n v="4.7619047620000003"/>
    <x v="507"/>
    <n v="6.2"/>
  </r>
  <r>
    <x v="511"/>
    <s v="A"/>
    <x v="0"/>
    <x v="1"/>
    <x v="0"/>
    <x v="2"/>
    <n v="42.91"/>
    <n v="5"/>
    <n v="10.727499999999999"/>
    <n v="225.2775"/>
    <x v="0"/>
    <x v="260"/>
    <x v="0"/>
    <n v="214.55"/>
    <n v="4.7619047620000003"/>
    <x v="508"/>
    <n v="6.1"/>
  </r>
  <r>
    <x v="512"/>
    <s v="A"/>
    <x v="0"/>
    <x v="1"/>
    <x v="0"/>
    <x v="5"/>
    <n v="54.28"/>
    <n v="7"/>
    <n v="18.998000000000001"/>
    <n v="398.95800000000003"/>
    <x v="3"/>
    <x v="347"/>
    <x v="0"/>
    <n v="379.96"/>
    <n v="4.7619047620000003"/>
    <x v="509"/>
    <n v="9.3000000000000007"/>
  </r>
  <r>
    <x v="513"/>
    <s v="A"/>
    <x v="0"/>
    <x v="1"/>
    <x v="1"/>
    <x v="1"/>
    <n v="99.55"/>
    <n v="7"/>
    <n v="34.842500000000001"/>
    <n v="731.6925"/>
    <x v="86"/>
    <x v="348"/>
    <x v="1"/>
    <n v="696.85"/>
    <n v="4.7619047620000003"/>
    <x v="510"/>
    <n v="7.6"/>
  </r>
  <r>
    <x v="514"/>
    <s v="C"/>
    <x v="1"/>
    <x v="0"/>
    <x v="1"/>
    <x v="3"/>
    <n v="58.39"/>
    <n v="7"/>
    <n v="20.436499999999999"/>
    <n v="429.16649999999998"/>
    <x v="55"/>
    <x v="349"/>
    <x v="2"/>
    <n v="408.73"/>
    <n v="4.7619047620000003"/>
    <x v="511"/>
    <n v="8.1999999999999993"/>
  </r>
  <r>
    <x v="515"/>
    <s v="C"/>
    <x v="1"/>
    <x v="0"/>
    <x v="0"/>
    <x v="5"/>
    <n v="51.47"/>
    <n v="1"/>
    <n v="2.5735000000000001"/>
    <n v="54.043500000000002"/>
    <x v="79"/>
    <x v="350"/>
    <x v="0"/>
    <n v="51.47"/>
    <n v="4.7619047620000003"/>
    <x v="512"/>
    <n v="8.5"/>
  </r>
  <r>
    <x v="516"/>
    <s v="B"/>
    <x v="2"/>
    <x v="0"/>
    <x v="1"/>
    <x v="0"/>
    <n v="54.86"/>
    <n v="5"/>
    <n v="13.715"/>
    <n v="288.01499999999999"/>
    <x v="14"/>
    <x v="13"/>
    <x v="0"/>
    <n v="274.3"/>
    <n v="4.7619047620000003"/>
    <x v="513"/>
    <n v="9.8000000000000007"/>
  </r>
  <r>
    <x v="517"/>
    <s v="C"/>
    <x v="1"/>
    <x v="0"/>
    <x v="1"/>
    <x v="2"/>
    <n v="39.39"/>
    <n v="5"/>
    <n v="9.8475000000000001"/>
    <n v="206.79750000000001"/>
    <x v="49"/>
    <x v="351"/>
    <x v="2"/>
    <n v="196.95"/>
    <n v="4.7619047620000003"/>
    <x v="514"/>
    <n v="8.6999999999999993"/>
  </r>
  <r>
    <x v="518"/>
    <s v="A"/>
    <x v="0"/>
    <x v="1"/>
    <x v="1"/>
    <x v="2"/>
    <n v="34.729999999999997"/>
    <n v="2"/>
    <n v="3.4729999999999999"/>
    <n v="72.933000000000007"/>
    <x v="59"/>
    <x v="92"/>
    <x v="0"/>
    <n v="69.459999999999994"/>
    <n v="4.7619047620000003"/>
    <x v="515"/>
    <n v="9.6999999999999993"/>
  </r>
  <r>
    <x v="519"/>
    <s v="C"/>
    <x v="1"/>
    <x v="0"/>
    <x v="1"/>
    <x v="3"/>
    <n v="71.92"/>
    <n v="5"/>
    <n v="17.98"/>
    <n v="377.58"/>
    <x v="29"/>
    <x v="184"/>
    <x v="2"/>
    <n v="359.6"/>
    <n v="4.7619047620000003"/>
    <x v="516"/>
    <n v="4.3"/>
  </r>
  <r>
    <x v="520"/>
    <s v="B"/>
    <x v="2"/>
    <x v="1"/>
    <x v="0"/>
    <x v="1"/>
    <n v="45.71"/>
    <n v="3"/>
    <n v="6.8564999999999996"/>
    <n v="143.98650000000001"/>
    <x v="58"/>
    <x v="352"/>
    <x v="2"/>
    <n v="137.13"/>
    <n v="4.7619047620000003"/>
    <x v="517"/>
    <n v="7.7"/>
  </r>
  <r>
    <x v="521"/>
    <s v="C"/>
    <x v="1"/>
    <x v="0"/>
    <x v="0"/>
    <x v="2"/>
    <n v="83.17"/>
    <n v="6"/>
    <n v="24.951000000000001"/>
    <n v="523.971"/>
    <x v="80"/>
    <x v="219"/>
    <x v="1"/>
    <n v="499.02"/>
    <n v="4.7619047620000003"/>
    <x v="518"/>
    <n v="7.3"/>
  </r>
  <r>
    <x v="522"/>
    <s v="A"/>
    <x v="0"/>
    <x v="0"/>
    <x v="0"/>
    <x v="2"/>
    <n v="37.44"/>
    <n v="6"/>
    <n v="11.231999999999999"/>
    <n v="235.87200000000001"/>
    <x v="10"/>
    <x v="353"/>
    <x v="2"/>
    <n v="224.64"/>
    <n v="4.7619047620000003"/>
    <x v="519"/>
    <n v="5.9"/>
  </r>
  <r>
    <x v="523"/>
    <s v="C"/>
    <x v="1"/>
    <x v="1"/>
    <x v="1"/>
    <x v="0"/>
    <n v="62.87"/>
    <n v="2"/>
    <n v="6.2869999999999999"/>
    <n v="132.02699999999999"/>
    <x v="17"/>
    <x v="354"/>
    <x v="1"/>
    <n v="125.74"/>
    <n v="4.7619047620000003"/>
    <x v="520"/>
    <n v="5"/>
  </r>
  <r>
    <x v="524"/>
    <s v="A"/>
    <x v="0"/>
    <x v="1"/>
    <x v="1"/>
    <x v="4"/>
    <n v="81.709999999999994"/>
    <n v="6"/>
    <n v="24.513000000000002"/>
    <n v="514.77300000000002"/>
    <x v="3"/>
    <x v="6"/>
    <x v="2"/>
    <n v="490.26"/>
    <n v="4.7619047620000003"/>
    <x v="521"/>
    <n v="8"/>
  </r>
  <r>
    <x v="525"/>
    <s v="A"/>
    <x v="0"/>
    <x v="0"/>
    <x v="0"/>
    <x v="3"/>
    <n v="91.41"/>
    <n v="5"/>
    <n v="22.852499999999999"/>
    <n v="479.90249999999997"/>
    <x v="6"/>
    <x v="355"/>
    <x v="0"/>
    <n v="457.05"/>
    <n v="4.7619047620000003"/>
    <x v="522"/>
    <n v="7.1"/>
  </r>
  <r>
    <x v="526"/>
    <s v="B"/>
    <x v="2"/>
    <x v="1"/>
    <x v="1"/>
    <x v="5"/>
    <n v="39.21"/>
    <n v="4"/>
    <n v="7.8419999999999996"/>
    <n v="164.68199999999999"/>
    <x v="65"/>
    <x v="356"/>
    <x v="2"/>
    <n v="156.84"/>
    <n v="4.7619047620000003"/>
    <x v="523"/>
    <n v="9"/>
  </r>
  <r>
    <x v="527"/>
    <s v="B"/>
    <x v="2"/>
    <x v="0"/>
    <x v="1"/>
    <x v="5"/>
    <n v="59.86"/>
    <n v="2"/>
    <n v="5.9859999999999998"/>
    <n v="125.706"/>
    <x v="50"/>
    <x v="304"/>
    <x v="0"/>
    <n v="119.72"/>
    <n v="4.7619047620000003"/>
    <x v="524"/>
    <n v="6.7"/>
  </r>
  <r>
    <x v="528"/>
    <s v="B"/>
    <x v="2"/>
    <x v="0"/>
    <x v="0"/>
    <x v="4"/>
    <n v="54.36"/>
    <n v="10"/>
    <n v="27.18"/>
    <n v="570.78"/>
    <x v="13"/>
    <x v="56"/>
    <x v="2"/>
    <n v="543.6"/>
    <n v="4.7619047620000003"/>
    <x v="525"/>
    <n v="6.1"/>
  </r>
  <r>
    <x v="529"/>
    <s v="A"/>
    <x v="0"/>
    <x v="1"/>
    <x v="1"/>
    <x v="3"/>
    <n v="98.09"/>
    <n v="9"/>
    <n v="44.140500000000003"/>
    <n v="926.95050000000003"/>
    <x v="21"/>
    <x v="357"/>
    <x v="1"/>
    <n v="882.81"/>
    <n v="4.7619047620000003"/>
    <x v="526"/>
    <n v="9.3000000000000007"/>
  </r>
  <r>
    <x v="530"/>
    <s v="A"/>
    <x v="0"/>
    <x v="1"/>
    <x v="1"/>
    <x v="0"/>
    <n v="25.43"/>
    <n v="6"/>
    <n v="7.6289999999999996"/>
    <n v="160.209"/>
    <x v="12"/>
    <x v="54"/>
    <x v="0"/>
    <n v="152.58000000000001"/>
    <n v="4.7619047620000003"/>
    <x v="527"/>
    <n v="7"/>
  </r>
  <r>
    <x v="531"/>
    <s v="A"/>
    <x v="0"/>
    <x v="0"/>
    <x v="1"/>
    <x v="5"/>
    <n v="86.68"/>
    <n v="8"/>
    <n v="34.671999999999997"/>
    <n v="728.11199999999997"/>
    <x v="46"/>
    <x v="358"/>
    <x v="2"/>
    <n v="693.44"/>
    <n v="4.7619047620000003"/>
    <x v="528"/>
    <n v="7.2"/>
  </r>
  <r>
    <x v="532"/>
    <s v="B"/>
    <x v="2"/>
    <x v="1"/>
    <x v="1"/>
    <x v="1"/>
    <n v="22.95"/>
    <n v="10"/>
    <n v="11.475"/>
    <n v="240.97499999999999"/>
    <x v="10"/>
    <x v="25"/>
    <x v="0"/>
    <n v="229.5"/>
    <n v="4.7619047620000003"/>
    <x v="529"/>
    <n v="8.1999999999999993"/>
  </r>
  <r>
    <x v="533"/>
    <s v="C"/>
    <x v="1"/>
    <x v="1"/>
    <x v="0"/>
    <x v="4"/>
    <n v="16.309999999999999"/>
    <n v="9"/>
    <n v="7.3395000000000001"/>
    <n v="154.12950000000001"/>
    <x v="58"/>
    <x v="359"/>
    <x v="0"/>
    <n v="146.79"/>
    <n v="4.7619047620000003"/>
    <x v="530"/>
    <n v="8.4"/>
  </r>
  <r>
    <x v="534"/>
    <s v="A"/>
    <x v="0"/>
    <x v="1"/>
    <x v="0"/>
    <x v="2"/>
    <n v="28.32"/>
    <n v="5"/>
    <n v="7.08"/>
    <n v="148.68"/>
    <x v="16"/>
    <x v="360"/>
    <x v="0"/>
    <n v="141.6"/>
    <n v="4.7619047620000003"/>
    <x v="531"/>
    <n v="6.2"/>
  </r>
  <r>
    <x v="535"/>
    <s v="C"/>
    <x v="1"/>
    <x v="1"/>
    <x v="1"/>
    <x v="2"/>
    <n v="16.670000000000002"/>
    <n v="7"/>
    <n v="5.8345000000000002"/>
    <n v="122.5245"/>
    <x v="13"/>
    <x v="150"/>
    <x v="0"/>
    <n v="116.69"/>
    <n v="4.7619047620000003"/>
    <x v="532"/>
    <n v="7.4"/>
  </r>
  <r>
    <x v="536"/>
    <s v="B"/>
    <x v="2"/>
    <x v="0"/>
    <x v="0"/>
    <x v="5"/>
    <n v="73.959999999999994"/>
    <n v="1"/>
    <n v="3.698"/>
    <n v="77.658000000000001"/>
    <x v="0"/>
    <x v="102"/>
    <x v="2"/>
    <n v="73.959999999999994"/>
    <n v="4.7619047620000003"/>
    <x v="533"/>
    <n v="5"/>
  </r>
  <r>
    <x v="537"/>
    <s v="A"/>
    <x v="0"/>
    <x v="1"/>
    <x v="1"/>
    <x v="2"/>
    <n v="97.94"/>
    <n v="1"/>
    <n v="4.8970000000000002"/>
    <n v="102.837"/>
    <x v="37"/>
    <x v="231"/>
    <x v="0"/>
    <n v="97.94"/>
    <n v="4.7619047620000003"/>
    <x v="534"/>
    <n v="6.9"/>
  </r>
  <r>
    <x v="538"/>
    <s v="A"/>
    <x v="0"/>
    <x v="1"/>
    <x v="0"/>
    <x v="5"/>
    <n v="73.05"/>
    <n v="4"/>
    <n v="14.61"/>
    <n v="306.81"/>
    <x v="6"/>
    <x v="361"/>
    <x v="2"/>
    <n v="292.2"/>
    <n v="4.7619047620000003"/>
    <x v="535"/>
    <n v="4.9000000000000004"/>
  </r>
  <r>
    <x v="539"/>
    <s v="C"/>
    <x v="1"/>
    <x v="0"/>
    <x v="0"/>
    <x v="4"/>
    <n v="87.48"/>
    <n v="6"/>
    <n v="26.244"/>
    <n v="551.12400000000002"/>
    <x v="60"/>
    <x v="362"/>
    <x v="0"/>
    <n v="524.88"/>
    <n v="4.7619047620000003"/>
    <x v="536"/>
    <n v="5.0999999999999996"/>
  </r>
  <r>
    <x v="540"/>
    <s v="A"/>
    <x v="0"/>
    <x v="1"/>
    <x v="1"/>
    <x v="2"/>
    <n v="30.68"/>
    <n v="3"/>
    <n v="4.6020000000000003"/>
    <n v="96.641999999999996"/>
    <x v="49"/>
    <x v="224"/>
    <x v="0"/>
    <n v="92.04"/>
    <n v="4.7619047620000003"/>
    <x v="537"/>
    <n v="9.1"/>
  </r>
  <r>
    <x v="541"/>
    <s v="C"/>
    <x v="1"/>
    <x v="0"/>
    <x v="1"/>
    <x v="0"/>
    <n v="75.88"/>
    <n v="1"/>
    <n v="3.794"/>
    <n v="79.674000000000007"/>
    <x v="75"/>
    <x v="363"/>
    <x v="2"/>
    <n v="75.88"/>
    <n v="4.7619047620000003"/>
    <x v="538"/>
    <n v="7.1"/>
  </r>
  <r>
    <x v="542"/>
    <s v="B"/>
    <x v="2"/>
    <x v="0"/>
    <x v="0"/>
    <x v="3"/>
    <n v="20.18"/>
    <n v="4"/>
    <n v="4.0359999999999996"/>
    <n v="84.756"/>
    <x v="77"/>
    <x v="280"/>
    <x v="2"/>
    <n v="80.72"/>
    <n v="4.7619047620000003"/>
    <x v="539"/>
    <n v="5"/>
  </r>
  <r>
    <x v="543"/>
    <s v="C"/>
    <x v="1"/>
    <x v="0"/>
    <x v="1"/>
    <x v="1"/>
    <n v="18.77"/>
    <n v="6"/>
    <n v="5.6310000000000002"/>
    <n v="118.251"/>
    <x v="26"/>
    <x v="122"/>
    <x v="2"/>
    <n v="112.62"/>
    <n v="4.7619047620000003"/>
    <x v="540"/>
    <n v="5.5"/>
  </r>
  <r>
    <x v="544"/>
    <s v="B"/>
    <x v="2"/>
    <x v="1"/>
    <x v="0"/>
    <x v="4"/>
    <n v="71.2"/>
    <n v="1"/>
    <n v="3.56"/>
    <n v="74.760000000000005"/>
    <x v="0"/>
    <x v="364"/>
    <x v="2"/>
    <n v="71.2"/>
    <n v="4.7619047620000003"/>
    <x v="541"/>
    <n v="9.1999999999999993"/>
  </r>
  <r>
    <x v="545"/>
    <s v="B"/>
    <x v="2"/>
    <x v="0"/>
    <x v="1"/>
    <x v="2"/>
    <n v="38.81"/>
    <n v="4"/>
    <n v="7.7619999999999996"/>
    <n v="163.00200000000001"/>
    <x v="35"/>
    <x v="61"/>
    <x v="0"/>
    <n v="155.24"/>
    <n v="4.7619047620000003"/>
    <x v="542"/>
    <n v="4.9000000000000004"/>
  </r>
  <r>
    <x v="546"/>
    <s v="A"/>
    <x v="0"/>
    <x v="1"/>
    <x v="0"/>
    <x v="5"/>
    <n v="29.42"/>
    <n v="10"/>
    <n v="14.71"/>
    <n v="308.91000000000003"/>
    <x v="52"/>
    <x v="293"/>
    <x v="0"/>
    <n v="294.2"/>
    <n v="4.7619047620000003"/>
    <x v="543"/>
    <n v="8.9"/>
  </r>
  <r>
    <x v="547"/>
    <s v="A"/>
    <x v="0"/>
    <x v="1"/>
    <x v="1"/>
    <x v="3"/>
    <n v="60.95"/>
    <n v="9"/>
    <n v="27.427499999999998"/>
    <n v="575.97749999999996"/>
    <x v="27"/>
    <x v="365"/>
    <x v="2"/>
    <n v="548.54999999999995"/>
    <n v="4.7619047620000003"/>
    <x v="544"/>
    <n v="6"/>
  </r>
  <r>
    <x v="548"/>
    <s v="B"/>
    <x v="2"/>
    <x v="1"/>
    <x v="0"/>
    <x v="3"/>
    <n v="51.54"/>
    <n v="5"/>
    <n v="12.885"/>
    <n v="270.58499999999998"/>
    <x v="53"/>
    <x v="366"/>
    <x v="1"/>
    <n v="257.7"/>
    <n v="4.7619047620000003"/>
    <x v="545"/>
    <n v="4.2"/>
  </r>
  <r>
    <x v="549"/>
    <s v="A"/>
    <x v="0"/>
    <x v="1"/>
    <x v="0"/>
    <x v="1"/>
    <n v="66.06"/>
    <n v="6"/>
    <n v="19.818000000000001"/>
    <n v="416.178"/>
    <x v="54"/>
    <x v="367"/>
    <x v="1"/>
    <n v="396.36"/>
    <n v="4.7619047620000003"/>
    <x v="546"/>
    <n v="7.3"/>
  </r>
  <r>
    <x v="550"/>
    <s v="B"/>
    <x v="2"/>
    <x v="1"/>
    <x v="1"/>
    <x v="5"/>
    <n v="57.27"/>
    <n v="3"/>
    <n v="8.5905000000000005"/>
    <n v="180.40049999999999"/>
    <x v="57"/>
    <x v="106"/>
    <x v="0"/>
    <n v="171.81"/>
    <n v="4.7619047620000003"/>
    <x v="547"/>
    <n v="6.5"/>
  </r>
  <r>
    <x v="551"/>
    <s v="B"/>
    <x v="2"/>
    <x v="1"/>
    <x v="0"/>
    <x v="5"/>
    <n v="54.31"/>
    <n v="9"/>
    <n v="24.439499999999999"/>
    <n v="513.22950000000003"/>
    <x v="70"/>
    <x v="368"/>
    <x v="1"/>
    <n v="488.79"/>
    <n v="4.7619047620000003"/>
    <x v="548"/>
    <n v="8.9"/>
  </r>
  <r>
    <x v="552"/>
    <s v="B"/>
    <x v="2"/>
    <x v="1"/>
    <x v="0"/>
    <x v="0"/>
    <n v="58.24"/>
    <n v="9"/>
    <n v="26.207999999999998"/>
    <n v="550.36800000000005"/>
    <x v="63"/>
    <x v="369"/>
    <x v="1"/>
    <n v="524.16"/>
    <n v="4.7619047620000003"/>
    <x v="549"/>
    <n v="9.6999999999999993"/>
  </r>
  <r>
    <x v="553"/>
    <s v="C"/>
    <x v="1"/>
    <x v="1"/>
    <x v="1"/>
    <x v="1"/>
    <n v="22.21"/>
    <n v="6"/>
    <n v="6.6630000000000003"/>
    <n v="139.923"/>
    <x v="37"/>
    <x v="81"/>
    <x v="2"/>
    <n v="133.26"/>
    <n v="4.7619047620000003"/>
    <x v="550"/>
    <n v="8.6"/>
  </r>
  <r>
    <x v="554"/>
    <s v="A"/>
    <x v="0"/>
    <x v="0"/>
    <x v="1"/>
    <x v="1"/>
    <n v="19.32"/>
    <n v="7"/>
    <n v="6.7619999999999996"/>
    <n v="142.00200000000001"/>
    <x v="5"/>
    <x v="370"/>
    <x v="1"/>
    <n v="135.24"/>
    <n v="4.7619047620000003"/>
    <x v="551"/>
    <n v="6.9"/>
  </r>
  <r>
    <x v="555"/>
    <s v="B"/>
    <x v="2"/>
    <x v="1"/>
    <x v="1"/>
    <x v="2"/>
    <n v="37.479999999999997"/>
    <n v="3"/>
    <n v="5.6219999999999999"/>
    <n v="118.062"/>
    <x v="40"/>
    <x v="286"/>
    <x v="2"/>
    <n v="112.44"/>
    <n v="4.7619047620000003"/>
    <x v="552"/>
    <n v="7.7"/>
  </r>
  <r>
    <x v="556"/>
    <s v="B"/>
    <x v="2"/>
    <x v="0"/>
    <x v="0"/>
    <x v="5"/>
    <n v="72.040000000000006"/>
    <n v="2"/>
    <n v="7.2039999999999997"/>
    <n v="151.28399999999999"/>
    <x v="87"/>
    <x v="371"/>
    <x v="1"/>
    <n v="144.08000000000001"/>
    <n v="4.7619047620000003"/>
    <x v="553"/>
    <n v="9.5"/>
  </r>
  <r>
    <x v="557"/>
    <s v="C"/>
    <x v="1"/>
    <x v="0"/>
    <x v="0"/>
    <x v="4"/>
    <n v="98.52"/>
    <n v="10"/>
    <n v="49.26"/>
    <n v="1034.46"/>
    <x v="74"/>
    <x v="169"/>
    <x v="0"/>
    <n v="985.2"/>
    <n v="4.7619047620000003"/>
    <x v="554"/>
    <n v="4.5"/>
  </r>
  <r>
    <x v="558"/>
    <s v="A"/>
    <x v="0"/>
    <x v="0"/>
    <x v="1"/>
    <x v="4"/>
    <n v="41.66"/>
    <n v="6"/>
    <n v="12.497999999999999"/>
    <n v="262.45800000000003"/>
    <x v="56"/>
    <x v="145"/>
    <x v="0"/>
    <n v="249.96"/>
    <n v="4.7619047620000003"/>
    <x v="555"/>
    <n v="5.6"/>
  </r>
  <r>
    <x v="559"/>
    <s v="A"/>
    <x v="0"/>
    <x v="0"/>
    <x v="0"/>
    <x v="2"/>
    <n v="72.42"/>
    <n v="3"/>
    <n v="10.863"/>
    <n v="228.12299999999999"/>
    <x v="14"/>
    <x v="336"/>
    <x v="0"/>
    <n v="217.26"/>
    <n v="4.7619047620000003"/>
    <x v="556"/>
    <n v="8.1999999999999993"/>
  </r>
  <r>
    <x v="560"/>
    <s v="B"/>
    <x v="2"/>
    <x v="1"/>
    <x v="1"/>
    <x v="1"/>
    <n v="21.58"/>
    <n v="9"/>
    <n v="9.7110000000000003"/>
    <n v="203.93100000000001"/>
    <x v="86"/>
    <x v="372"/>
    <x v="1"/>
    <n v="194.22"/>
    <n v="4.7619047620000003"/>
    <x v="557"/>
    <n v="7.3"/>
  </r>
  <r>
    <x v="561"/>
    <s v="C"/>
    <x v="1"/>
    <x v="1"/>
    <x v="1"/>
    <x v="4"/>
    <n v="89.2"/>
    <n v="10"/>
    <n v="44.6"/>
    <n v="936.6"/>
    <x v="48"/>
    <x v="324"/>
    <x v="2"/>
    <n v="892"/>
    <n v="4.7619047620000003"/>
    <x v="558"/>
    <n v="4.4000000000000004"/>
  </r>
  <r>
    <x v="562"/>
    <s v="B"/>
    <x v="2"/>
    <x v="1"/>
    <x v="0"/>
    <x v="1"/>
    <n v="42.42"/>
    <n v="8"/>
    <n v="16.968"/>
    <n v="356.32799999999997"/>
    <x v="74"/>
    <x v="139"/>
    <x v="0"/>
    <n v="339.36"/>
    <n v="4.7619047620000003"/>
    <x v="559"/>
    <n v="5.7"/>
  </r>
  <r>
    <x v="563"/>
    <s v="A"/>
    <x v="0"/>
    <x v="0"/>
    <x v="1"/>
    <x v="1"/>
    <n v="74.510000000000005"/>
    <n v="6"/>
    <n v="22.353000000000002"/>
    <n v="469.41300000000001"/>
    <x v="80"/>
    <x v="264"/>
    <x v="0"/>
    <n v="447.06"/>
    <n v="4.7619047620000003"/>
    <x v="560"/>
    <n v="5"/>
  </r>
  <r>
    <x v="564"/>
    <s v="B"/>
    <x v="2"/>
    <x v="1"/>
    <x v="1"/>
    <x v="5"/>
    <n v="99.25"/>
    <n v="2"/>
    <n v="9.9250000000000007"/>
    <n v="208.42500000000001"/>
    <x v="80"/>
    <x v="276"/>
    <x v="1"/>
    <n v="198.5"/>
    <n v="4.7619047620000003"/>
    <x v="561"/>
    <n v="9"/>
  </r>
  <r>
    <x v="565"/>
    <s v="A"/>
    <x v="0"/>
    <x v="1"/>
    <x v="0"/>
    <x v="4"/>
    <n v="81.209999999999994"/>
    <n v="10"/>
    <n v="40.604999999999997"/>
    <n v="852.70500000000004"/>
    <x v="29"/>
    <x v="39"/>
    <x v="2"/>
    <n v="812.1"/>
    <n v="4.7619047620000003"/>
    <x v="562"/>
    <n v="6.3"/>
  </r>
  <r>
    <x v="566"/>
    <s v="C"/>
    <x v="1"/>
    <x v="1"/>
    <x v="0"/>
    <x v="3"/>
    <n v="49.33"/>
    <n v="10"/>
    <n v="24.664999999999999"/>
    <n v="517.96500000000003"/>
    <x v="36"/>
    <x v="64"/>
    <x v="2"/>
    <n v="493.3"/>
    <n v="4.7619047620000003"/>
    <x v="563"/>
    <n v="9.4"/>
  </r>
  <r>
    <x v="567"/>
    <s v="A"/>
    <x v="0"/>
    <x v="1"/>
    <x v="0"/>
    <x v="5"/>
    <n v="65.739999999999995"/>
    <n v="9"/>
    <n v="29.582999999999998"/>
    <n v="621.24300000000005"/>
    <x v="17"/>
    <x v="353"/>
    <x v="1"/>
    <n v="591.66"/>
    <n v="4.7619047620000003"/>
    <x v="564"/>
    <n v="7.7"/>
  </r>
  <r>
    <x v="568"/>
    <s v="B"/>
    <x v="2"/>
    <x v="1"/>
    <x v="0"/>
    <x v="5"/>
    <n v="79.86"/>
    <n v="7"/>
    <n v="27.951000000000001"/>
    <n v="586.971"/>
    <x v="8"/>
    <x v="373"/>
    <x v="2"/>
    <n v="559.02"/>
    <n v="4.7619047620000003"/>
    <x v="565"/>
    <n v="5.5"/>
  </r>
  <r>
    <x v="569"/>
    <s v="C"/>
    <x v="1"/>
    <x v="1"/>
    <x v="0"/>
    <x v="3"/>
    <n v="73.98"/>
    <n v="7"/>
    <n v="25.893000000000001"/>
    <n v="543.75300000000004"/>
    <x v="22"/>
    <x v="86"/>
    <x v="0"/>
    <n v="517.86"/>
    <n v="4.7619047620000003"/>
    <x v="566"/>
    <n v="4.0999999999999996"/>
  </r>
  <r>
    <x v="570"/>
    <s v="B"/>
    <x v="2"/>
    <x v="0"/>
    <x v="0"/>
    <x v="2"/>
    <n v="82.04"/>
    <n v="5"/>
    <n v="20.51"/>
    <n v="430.71"/>
    <x v="6"/>
    <x v="361"/>
    <x v="2"/>
    <n v="410.2"/>
    <n v="4.7619047620000003"/>
    <x v="567"/>
    <n v="7.6"/>
  </r>
  <r>
    <x v="571"/>
    <s v="B"/>
    <x v="2"/>
    <x v="0"/>
    <x v="1"/>
    <x v="3"/>
    <n v="26.67"/>
    <n v="10"/>
    <n v="13.335000000000001"/>
    <n v="280.03500000000003"/>
    <x v="71"/>
    <x v="340"/>
    <x v="1"/>
    <n v="266.7"/>
    <n v="4.7619047620000003"/>
    <x v="568"/>
    <n v="8.6"/>
  </r>
  <r>
    <x v="572"/>
    <s v="A"/>
    <x v="0"/>
    <x v="0"/>
    <x v="1"/>
    <x v="4"/>
    <n v="10.130000000000001"/>
    <n v="7"/>
    <n v="3.5455000000000001"/>
    <n v="74.455500000000001"/>
    <x v="24"/>
    <x v="323"/>
    <x v="0"/>
    <n v="70.91"/>
    <n v="4.7619047620000003"/>
    <x v="569"/>
    <n v="8.3000000000000007"/>
  </r>
  <r>
    <x v="573"/>
    <s v="B"/>
    <x v="2"/>
    <x v="1"/>
    <x v="1"/>
    <x v="4"/>
    <n v="72.39"/>
    <n v="2"/>
    <n v="7.2389999999999999"/>
    <n v="152.01900000000001"/>
    <x v="50"/>
    <x v="374"/>
    <x v="2"/>
    <n v="144.78"/>
    <n v="4.7619047620000003"/>
    <x v="570"/>
    <n v="8.1"/>
  </r>
  <r>
    <x v="574"/>
    <s v="A"/>
    <x v="0"/>
    <x v="1"/>
    <x v="1"/>
    <x v="3"/>
    <n v="85.91"/>
    <n v="5"/>
    <n v="21.477499999999999"/>
    <n v="451.02749999999997"/>
    <x v="23"/>
    <x v="375"/>
    <x v="2"/>
    <n v="429.55"/>
    <n v="4.7619047620000003"/>
    <x v="571"/>
    <n v="8.6"/>
  </r>
  <r>
    <x v="575"/>
    <s v="B"/>
    <x v="2"/>
    <x v="0"/>
    <x v="1"/>
    <x v="5"/>
    <n v="81.31"/>
    <n v="7"/>
    <n v="28.458500000000001"/>
    <n v="597.62850000000003"/>
    <x v="59"/>
    <x v="349"/>
    <x v="0"/>
    <n v="569.16999999999996"/>
    <n v="4.7619047620000003"/>
    <x v="572"/>
    <n v="6.3"/>
  </r>
  <r>
    <x v="576"/>
    <s v="B"/>
    <x v="2"/>
    <x v="1"/>
    <x v="1"/>
    <x v="4"/>
    <n v="60.3"/>
    <n v="4"/>
    <n v="12.06"/>
    <n v="253.26"/>
    <x v="9"/>
    <x v="362"/>
    <x v="1"/>
    <n v="241.2"/>
    <n v="4.7619047620000003"/>
    <x v="573"/>
    <n v="5.8"/>
  </r>
  <r>
    <x v="577"/>
    <s v="C"/>
    <x v="1"/>
    <x v="1"/>
    <x v="1"/>
    <x v="4"/>
    <n v="31.77"/>
    <n v="4"/>
    <n v="6.3540000000000001"/>
    <n v="133.434"/>
    <x v="78"/>
    <x v="140"/>
    <x v="0"/>
    <n v="127.08"/>
    <n v="4.7619047620000003"/>
    <x v="574"/>
    <n v="6.2"/>
  </r>
  <r>
    <x v="578"/>
    <s v="A"/>
    <x v="0"/>
    <x v="1"/>
    <x v="0"/>
    <x v="0"/>
    <n v="64.27"/>
    <n v="4"/>
    <n v="12.853999999999999"/>
    <n v="269.93400000000003"/>
    <x v="58"/>
    <x v="376"/>
    <x v="1"/>
    <n v="257.08"/>
    <n v="4.7619047620000003"/>
    <x v="575"/>
    <n v="7.7"/>
  </r>
  <r>
    <x v="579"/>
    <s v="B"/>
    <x v="2"/>
    <x v="1"/>
    <x v="1"/>
    <x v="0"/>
    <n v="69.510000000000005"/>
    <n v="2"/>
    <n v="6.9509999999999996"/>
    <n v="145.971"/>
    <x v="59"/>
    <x v="377"/>
    <x v="0"/>
    <n v="139.02000000000001"/>
    <n v="4.7619047620000003"/>
    <x v="576"/>
    <n v="8.1"/>
  </r>
  <r>
    <x v="580"/>
    <s v="C"/>
    <x v="1"/>
    <x v="1"/>
    <x v="1"/>
    <x v="4"/>
    <n v="27.22"/>
    <n v="3"/>
    <n v="4.0830000000000002"/>
    <n v="85.742999999999995"/>
    <x v="27"/>
    <x v="378"/>
    <x v="1"/>
    <n v="81.66"/>
    <n v="4.7619047620000003"/>
    <x v="577"/>
    <n v="7.3"/>
  </r>
  <r>
    <x v="581"/>
    <s v="A"/>
    <x v="0"/>
    <x v="0"/>
    <x v="0"/>
    <x v="0"/>
    <n v="77.680000000000007"/>
    <n v="4"/>
    <n v="15.536"/>
    <n v="326.25599999999997"/>
    <x v="60"/>
    <x v="85"/>
    <x v="1"/>
    <n v="310.72000000000003"/>
    <n v="4.7619047620000003"/>
    <x v="578"/>
    <n v="8.4"/>
  </r>
  <r>
    <x v="582"/>
    <s v="C"/>
    <x v="1"/>
    <x v="0"/>
    <x v="0"/>
    <x v="5"/>
    <n v="92.98"/>
    <n v="2"/>
    <n v="9.298"/>
    <n v="195.25800000000001"/>
    <x v="77"/>
    <x v="379"/>
    <x v="2"/>
    <n v="185.96"/>
    <n v="4.7619047620000003"/>
    <x v="579"/>
    <n v="8"/>
  </r>
  <r>
    <x v="583"/>
    <s v="B"/>
    <x v="2"/>
    <x v="0"/>
    <x v="0"/>
    <x v="5"/>
    <n v="18.079999999999998"/>
    <n v="4"/>
    <n v="3.6160000000000001"/>
    <n v="75.936000000000007"/>
    <x v="78"/>
    <x v="172"/>
    <x v="2"/>
    <n v="72.319999999999993"/>
    <n v="4.7619047620000003"/>
    <x v="580"/>
    <n v="9.5"/>
  </r>
  <r>
    <x v="584"/>
    <s v="B"/>
    <x v="2"/>
    <x v="1"/>
    <x v="1"/>
    <x v="3"/>
    <n v="63.06"/>
    <n v="3"/>
    <n v="9.4589999999999996"/>
    <n v="198.63900000000001"/>
    <x v="64"/>
    <x v="380"/>
    <x v="0"/>
    <n v="189.18"/>
    <n v="4.7619047620000003"/>
    <x v="581"/>
    <n v="7"/>
  </r>
  <r>
    <x v="585"/>
    <s v="A"/>
    <x v="0"/>
    <x v="1"/>
    <x v="1"/>
    <x v="0"/>
    <n v="51.71"/>
    <n v="4"/>
    <n v="10.342000000000001"/>
    <n v="217.18199999999999"/>
    <x v="11"/>
    <x v="318"/>
    <x v="2"/>
    <n v="206.84"/>
    <n v="4.7619047620000003"/>
    <x v="582"/>
    <n v="9.8000000000000007"/>
  </r>
  <r>
    <x v="586"/>
    <s v="A"/>
    <x v="0"/>
    <x v="1"/>
    <x v="0"/>
    <x v="4"/>
    <n v="52.34"/>
    <n v="3"/>
    <n v="7.851"/>
    <n v="164.87100000000001"/>
    <x v="39"/>
    <x v="381"/>
    <x v="1"/>
    <n v="157.02000000000001"/>
    <n v="4.7619047620000003"/>
    <x v="583"/>
    <n v="9.1999999999999993"/>
  </r>
  <r>
    <x v="587"/>
    <s v="A"/>
    <x v="0"/>
    <x v="1"/>
    <x v="0"/>
    <x v="3"/>
    <n v="43.06"/>
    <n v="5"/>
    <n v="10.765000000000001"/>
    <n v="226.065"/>
    <x v="87"/>
    <x v="382"/>
    <x v="0"/>
    <n v="215.3"/>
    <n v="4.7619047620000003"/>
    <x v="584"/>
    <n v="7.7"/>
  </r>
  <r>
    <x v="588"/>
    <s v="C"/>
    <x v="1"/>
    <x v="1"/>
    <x v="1"/>
    <x v="5"/>
    <n v="59.61"/>
    <n v="10"/>
    <n v="29.805"/>
    <n v="625.90499999999997"/>
    <x v="86"/>
    <x v="383"/>
    <x v="1"/>
    <n v="596.1"/>
    <n v="4.7619047620000003"/>
    <x v="585"/>
    <n v="5.3"/>
  </r>
  <r>
    <x v="589"/>
    <s v="A"/>
    <x v="0"/>
    <x v="1"/>
    <x v="1"/>
    <x v="0"/>
    <n v="14.62"/>
    <n v="5"/>
    <n v="3.6549999999999998"/>
    <n v="76.754999999999995"/>
    <x v="31"/>
    <x v="384"/>
    <x v="1"/>
    <n v="73.099999999999994"/>
    <n v="4.7619047620000003"/>
    <x v="586"/>
    <n v="4.4000000000000004"/>
  </r>
  <r>
    <x v="590"/>
    <s v="C"/>
    <x v="1"/>
    <x v="0"/>
    <x v="1"/>
    <x v="0"/>
    <n v="46.53"/>
    <n v="6"/>
    <n v="13.959"/>
    <n v="293.13900000000001"/>
    <x v="2"/>
    <x v="200"/>
    <x v="2"/>
    <n v="279.18"/>
    <n v="4.7619047620000003"/>
    <x v="587"/>
    <n v="4.3"/>
  </r>
  <r>
    <x v="591"/>
    <s v="C"/>
    <x v="1"/>
    <x v="0"/>
    <x v="0"/>
    <x v="2"/>
    <n v="24.24"/>
    <n v="7"/>
    <n v="8.484"/>
    <n v="178.16399999999999"/>
    <x v="3"/>
    <x v="180"/>
    <x v="0"/>
    <n v="169.68"/>
    <n v="4.7619047620000003"/>
    <x v="588"/>
    <n v="9.4"/>
  </r>
  <r>
    <x v="592"/>
    <s v="A"/>
    <x v="0"/>
    <x v="0"/>
    <x v="0"/>
    <x v="3"/>
    <n v="45.58"/>
    <n v="1"/>
    <n v="2.2789999999999999"/>
    <n v="47.859000000000002"/>
    <x v="13"/>
    <x v="385"/>
    <x v="1"/>
    <n v="45.58"/>
    <n v="4.7619047620000003"/>
    <x v="589"/>
    <n v="9.8000000000000007"/>
  </r>
  <r>
    <x v="593"/>
    <s v="A"/>
    <x v="0"/>
    <x v="0"/>
    <x v="0"/>
    <x v="3"/>
    <n v="75.2"/>
    <n v="3"/>
    <n v="11.28"/>
    <n v="236.88"/>
    <x v="63"/>
    <x v="159"/>
    <x v="0"/>
    <n v="225.6"/>
    <n v="4.7619047620000003"/>
    <x v="590"/>
    <n v="4.8"/>
  </r>
  <r>
    <x v="594"/>
    <s v="B"/>
    <x v="2"/>
    <x v="0"/>
    <x v="1"/>
    <x v="3"/>
    <n v="96.8"/>
    <n v="3"/>
    <n v="14.52"/>
    <n v="304.92"/>
    <x v="20"/>
    <x v="137"/>
    <x v="1"/>
    <n v="290.39999999999998"/>
    <n v="4.7619047620000003"/>
    <x v="591"/>
    <n v="5.3"/>
  </r>
  <r>
    <x v="595"/>
    <s v="B"/>
    <x v="2"/>
    <x v="1"/>
    <x v="1"/>
    <x v="0"/>
    <n v="14.82"/>
    <n v="3"/>
    <n v="2.2229999999999999"/>
    <n v="46.683"/>
    <x v="59"/>
    <x v="170"/>
    <x v="2"/>
    <n v="44.46"/>
    <n v="4.7619047620000003"/>
    <x v="592"/>
    <n v="8.6999999999999993"/>
  </r>
  <r>
    <x v="596"/>
    <s v="A"/>
    <x v="0"/>
    <x v="1"/>
    <x v="1"/>
    <x v="4"/>
    <n v="52.2"/>
    <n v="3"/>
    <n v="7.83"/>
    <n v="164.43"/>
    <x v="42"/>
    <x v="241"/>
    <x v="2"/>
    <n v="156.6"/>
    <n v="4.7619047620000003"/>
    <x v="593"/>
    <n v="9.5"/>
  </r>
  <r>
    <x v="597"/>
    <s v="C"/>
    <x v="1"/>
    <x v="1"/>
    <x v="0"/>
    <x v="3"/>
    <n v="46.66"/>
    <n v="9"/>
    <n v="20.997"/>
    <n v="440.93700000000001"/>
    <x v="21"/>
    <x v="386"/>
    <x v="0"/>
    <n v="419.94"/>
    <n v="4.7619047620000003"/>
    <x v="594"/>
    <n v="5.3"/>
  </r>
  <r>
    <x v="598"/>
    <s v="C"/>
    <x v="1"/>
    <x v="1"/>
    <x v="0"/>
    <x v="5"/>
    <n v="36.85"/>
    <n v="5"/>
    <n v="9.2125000000000004"/>
    <n v="193.46250000000001"/>
    <x v="53"/>
    <x v="387"/>
    <x v="1"/>
    <n v="184.25"/>
    <n v="4.7619047620000003"/>
    <x v="595"/>
    <n v="9.1999999999999993"/>
  </r>
  <r>
    <x v="599"/>
    <s v="A"/>
    <x v="0"/>
    <x v="0"/>
    <x v="0"/>
    <x v="2"/>
    <n v="70.319999999999993"/>
    <n v="2"/>
    <n v="7.032"/>
    <n v="147.672"/>
    <x v="62"/>
    <x v="388"/>
    <x v="0"/>
    <n v="140.63999999999999"/>
    <n v="4.7619047620000003"/>
    <x v="596"/>
    <n v="9.6"/>
  </r>
  <r>
    <x v="600"/>
    <s v="C"/>
    <x v="1"/>
    <x v="1"/>
    <x v="1"/>
    <x v="1"/>
    <n v="83.08"/>
    <n v="1"/>
    <n v="4.1539999999999999"/>
    <n v="87.233999999999995"/>
    <x v="54"/>
    <x v="361"/>
    <x v="0"/>
    <n v="83.08"/>
    <n v="4.7619047620000003"/>
    <x v="451"/>
    <n v="6.4"/>
  </r>
  <r>
    <x v="601"/>
    <s v="C"/>
    <x v="1"/>
    <x v="1"/>
    <x v="0"/>
    <x v="5"/>
    <n v="64.989999999999995"/>
    <n v="1"/>
    <n v="3.2494999999999998"/>
    <n v="68.239500000000007"/>
    <x v="53"/>
    <x v="389"/>
    <x v="2"/>
    <n v="64.989999999999995"/>
    <n v="4.7619047620000003"/>
    <x v="597"/>
    <n v="4.5"/>
  </r>
  <r>
    <x v="602"/>
    <s v="C"/>
    <x v="1"/>
    <x v="1"/>
    <x v="1"/>
    <x v="4"/>
    <n v="77.56"/>
    <n v="10"/>
    <n v="38.78"/>
    <n v="814.38"/>
    <x v="86"/>
    <x v="82"/>
    <x v="0"/>
    <n v="775.6"/>
    <n v="4.7619047620000003"/>
    <x v="598"/>
    <n v="6.9"/>
  </r>
  <r>
    <x v="603"/>
    <s v="B"/>
    <x v="2"/>
    <x v="1"/>
    <x v="0"/>
    <x v="3"/>
    <n v="54.51"/>
    <n v="6"/>
    <n v="16.353000000000002"/>
    <n v="343.41300000000001"/>
    <x v="85"/>
    <x v="376"/>
    <x v="0"/>
    <n v="327.06"/>
    <n v="4.7619047620000003"/>
    <x v="599"/>
    <n v="7.8"/>
  </r>
  <r>
    <x v="604"/>
    <s v="C"/>
    <x v="1"/>
    <x v="0"/>
    <x v="0"/>
    <x v="5"/>
    <n v="51.89"/>
    <n v="7"/>
    <n v="18.1615"/>
    <n v="381.39150000000001"/>
    <x v="66"/>
    <x v="390"/>
    <x v="1"/>
    <n v="363.23"/>
    <n v="4.7619047620000003"/>
    <x v="600"/>
    <n v="4.5"/>
  </r>
  <r>
    <x v="605"/>
    <s v="B"/>
    <x v="2"/>
    <x v="1"/>
    <x v="1"/>
    <x v="2"/>
    <n v="31.75"/>
    <n v="4"/>
    <n v="6.35"/>
    <n v="133.35"/>
    <x v="4"/>
    <x v="108"/>
    <x v="1"/>
    <n v="127"/>
    <n v="4.7619047620000003"/>
    <x v="601"/>
    <n v="8.6"/>
  </r>
  <r>
    <x v="606"/>
    <s v="A"/>
    <x v="0"/>
    <x v="0"/>
    <x v="0"/>
    <x v="5"/>
    <n v="53.65"/>
    <n v="7"/>
    <n v="18.7775"/>
    <n v="394.32749999999999"/>
    <x v="34"/>
    <x v="391"/>
    <x v="0"/>
    <n v="375.55"/>
    <n v="4.7619047620000003"/>
    <x v="602"/>
    <n v="5.2"/>
  </r>
  <r>
    <x v="607"/>
    <s v="C"/>
    <x v="1"/>
    <x v="0"/>
    <x v="0"/>
    <x v="4"/>
    <n v="49.79"/>
    <n v="4"/>
    <n v="9.9580000000000002"/>
    <n v="209.11799999999999"/>
    <x v="61"/>
    <x v="156"/>
    <x v="2"/>
    <n v="199.16"/>
    <n v="4.7619047620000003"/>
    <x v="603"/>
    <n v="6.4"/>
  </r>
  <r>
    <x v="608"/>
    <s v="A"/>
    <x v="0"/>
    <x v="1"/>
    <x v="1"/>
    <x v="5"/>
    <n v="30.61"/>
    <n v="1"/>
    <n v="1.5305"/>
    <n v="32.140500000000003"/>
    <x v="54"/>
    <x v="22"/>
    <x v="0"/>
    <n v="30.61"/>
    <n v="4.7619047620000003"/>
    <x v="604"/>
    <n v="5.2"/>
  </r>
  <r>
    <x v="609"/>
    <s v="B"/>
    <x v="2"/>
    <x v="0"/>
    <x v="1"/>
    <x v="4"/>
    <n v="57.89"/>
    <n v="2"/>
    <n v="5.7889999999999997"/>
    <n v="121.569"/>
    <x v="29"/>
    <x v="4"/>
    <x v="0"/>
    <n v="115.78"/>
    <n v="4.7619047620000003"/>
    <x v="605"/>
    <n v="8.9"/>
  </r>
  <r>
    <x v="610"/>
    <s v="A"/>
    <x v="0"/>
    <x v="1"/>
    <x v="0"/>
    <x v="1"/>
    <n v="28.96"/>
    <n v="1"/>
    <n v="1.448"/>
    <n v="30.408000000000001"/>
    <x v="13"/>
    <x v="392"/>
    <x v="2"/>
    <n v="28.96"/>
    <n v="4.7619047620000003"/>
    <x v="606"/>
    <n v="6.2"/>
  </r>
  <r>
    <x v="611"/>
    <s v="C"/>
    <x v="1"/>
    <x v="0"/>
    <x v="0"/>
    <x v="4"/>
    <n v="98.97"/>
    <n v="9"/>
    <n v="44.536499999999997"/>
    <n v="935.26649999999995"/>
    <x v="11"/>
    <x v="219"/>
    <x v="1"/>
    <n v="890.73"/>
    <n v="4.7619047620000003"/>
    <x v="607"/>
    <n v="6.7"/>
  </r>
  <r>
    <x v="612"/>
    <s v="B"/>
    <x v="2"/>
    <x v="0"/>
    <x v="1"/>
    <x v="5"/>
    <n v="93.22"/>
    <n v="3"/>
    <n v="13.983000000000001"/>
    <n v="293.64299999999997"/>
    <x v="46"/>
    <x v="393"/>
    <x v="1"/>
    <n v="279.66000000000003"/>
    <n v="4.7619047620000003"/>
    <x v="608"/>
    <n v="7.2"/>
  </r>
  <r>
    <x v="613"/>
    <s v="C"/>
    <x v="1"/>
    <x v="0"/>
    <x v="1"/>
    <x v="3"/>
    <n v="80.930000000000007"/>
    <n v="1"/>
    <n v="4.0465"/>
    <n v="84.976500000000001"/>
    <x v="64"/>
    <x v="394"/>
    <x v="2"/>
    <n v="80.930000000000007"/>
    <n v="4.7619047620000003"/>
    <x v="609"/>
    <n v="9"/>
  </r>
  <r>
    <x v="614"/>
    <s v="A"/>
    <x v="0"/>
    <x v="0"/>
    <x v="1"/>
    <x v="4"/>
    <n v="67.45"/>
    <n v="10"/>
    <n v="33.725000000000001"/>
    <n v="708.22500000000002"/>
    <x v="36"/>
    <x v="210"/>
    <x v="0"/>
    <n v="674.5"/>
    <n v="4.7619047620000003"/>
    <x v="610"/>
    <n v="4.2"/>
  </r>
  <r>
    <x v="615"/>
    <s v="A"/>
    <x v="0"/>
    <x v="0"/>
    <x v="0"/>
    <x v="3"/>
    <n v="38.72"/>
    <n v="9"/>
    <n v="17.423999999999999"/>
    <n v="365.904"/>
    <x v="80"/>
    <x v="395"/>
    <x v="0"/>
    <n v="348.48"/>
    <n v="4.7619047620000003"/>
    <x v="611"/>
    <n v="4.2"/>
  </r>
  <r>
    <x v="616"/>
    <s v="B"/>
    <x v="2"/>
    <x v="0"/>
    <x v="1"/>
    <x v="3"/>
    <n v="72.599999999999994"/>
    <n v="6"/>
    <n v="21.78"/>
    <n v="457.38"/>
    <x v="50"/>
    <x v="396"/>
    <x v="1"/>
    <n v="435.6"/>
    <n v="4.7619047620000003"/>
    <x v="612"/>
    <n v="6.9"/>
  </r>
  <r>
    <x v="617"/>
    <s v="C"/>
    <x v="1"/>
    <x v="0"/>
    <x v="1"/>
    <x v="1"/>
    <n v="87.91"/>
    <n v="5"/>
    <n v="21.977499999999999"/>
    <n v="461.52749999999997"/>
    <x v="86"/>
    <x v="397"/>
    <x v="0"/>
    <n v="439.55"/>
    <n v="4.7619047620000003"/>
    <x v="613"/>
    <n v="4.4000000000000004"/>
  </r>
  <r>
    <x v="618"/>
    <s v="A"/>
    <x v="0"/>
    <x v="0"/>
    <x v="1"/>
    <x v="4"/>
    <n v="98.53"/>
    <n v="6"/>
    <n v="29.559000000000001"/>
    <n v="620.73900000000003"/>
    <x v="54"/>
    <x v="218"/>
    <x v="2"/>
    <n v="591.17999999999995"/>
    <n v="4.7619047620000003"/>
    <x v="614"/>
    <n v="4"/>
  </r>
  <r>
    <x v="619"/>
    <s v="C"/>
    <x v="1"/>
    <x v="0"/>
    <x v="0"/>
    <x v="5"/>
    <n v="43.46"/>
    <n v="6"/>
    <n v="13.038"/>
    <n v="273.798"/>
    <x v="13"/>
    <x v="84"/>
    <x v="0"/>
    <n v="260.76"/>
    <n v="4.7619047620000003"/>
    <x v="615"/>
    <n v="8.5"/>
  </r>
  <r>
    <x v="620"/>
    <s v="A"/>
    <x v="0"/>
    <x v="1"/>
    <x v="0"/>
    <x v="4"/>
    <n v="71.680000000000007"/>
    <n v="3"/>
    <n v="10.752000000000001"/>
    <n v="225.792"/>
    <x v="61"/>
    <x v="19"/>
    <x v="2"/>
    <n v="215.04"/>
    <n v="4.7619047620000003"/>
    <x v="616"/>
    <n v="9.1999999999999993"/>
  </r>
  <r>
    <x v="621"/>
    <s v="A"/>
    <x v="0"/>
    <x v="0"/>
    <x v="0"/>
    <x v="4"/>
    <n v="91.61"/>
    <n v="1"/>
    <n v="4.5804999999999998"/>
    <n v="96.1905"/>
    <x v="80"/>
    <x v="143"/>
    <x v="1"/>
    <n v="91.61"/>
    <n v="4.7619047620000003"/>
    <x v="617"/>
    <n v="9.8000000000000007"/>
  </r>
  <r>
    <x v="622"/>
    <s v="B"/>
    <x v="2"/>
    <x v="0"/>
    <x v="0"/>
    <x v="2"/>
    <n v="94.59"/>
    <n v="7"/>
    <n v="33.106499999999997"/>
    <n v="695.23649999999998"/>
    <x v="29"/>
    <x v="398"/>
    <x v="2"/>
    <n v="662.13"/>
    <n v="4.7619047620000003"/>
    <x v="618"/>
    <n v="4.9000000000000004"/>
  </r>
  <r>
    <x v="623"/>
    <s v="B"/>
    <x v="2"/>
    <x v="1"/>
    <x v="0"/>
    <x v="5"/>
    <n v="83.25"/>
    <n v="10"/>
    <n v="41.625"/>
    <n v="874.125"/>
    <x v="52"/>
    <x v="210"/>
    <x v="2"/>
    <n v="832.5"/>
    <n v="4.7619047620000003"/>
    <x v="619"/>
    <n v="4.4000000000000004"/>
  </r>
  <r>
    <x v="624"/>
    <s v="B"/>
    <x v="2"/>
    <x v="0"/>
    <x v="1"/>
    <x v="5"/>
    <n v="91.35"/>
    <n v="1"/>
    <n v="4.5674999999999999"/>
    <n v="95.917500000000004"/>
    <x v="69"/>
    <x v="324"/>
    <x v="1"/>
    <n v="91.35"/>
    <n v="4.7619047620000003"/>
    <x v="620"/>
    <n v="6.8"/>
  </r>
  <r>
    <x v="625"/>
    <s v="B"/>
    <x v="2"/>
    <x v="0"/>
    <x v="0"/>
    <x v="4"/>
    <n v="78.88"/>
    <n v="2"/>
    <n v="7.8879999999999999"/>
    <n v="165.648"/>
    <x v="53"/>
    <x v="399"/>
    <x v="1"/>
    <n v="157.76"/>
    <n v="4.7619047620000003"/>
    <x v="621"/>
    <n v="9.1"/>
  </r>
  <r>
    <x v="626"/>
    <s v="A"/>
    <x v="0"/>
    <x v="1"/>
    <x v="1"/>
    <x v="3"/>
    <n v="60.87"/>
    <n v="2"/>
    <n v="6.0869999999999997"/>
    <n v="127.827"/>
    <x v="11"/>
    <x v="378"/>
    <x v="0"/>
    <n v="121.74"/>
    <n v="4.7619047620000003"/>
    <x v="622"/>
    <n v="8.6999999999999993"/>
  </r>
  <r>
    <x v="627"/>
    <s v="B"/>
    <x v="2"/>
    <x v="0"/>
    <x v="1"/>
    <x v="0"/>
    <n v="82.58"/>
    <n v="10"/>
    <n v="41.29"/>
    <n v="867.09"/>
    <x v="86"/>
    <x v="400"/>
    <x v="1"/>
    <n v="825.8"/>
    <n v="4.7619047620000003"/>
    <x v="623"/>
    <n v="5"/>
  </r>
  <r>
    <x v="628"/>
    <s v="A"/>
    <x v="0"/>
    <x v="0"/>
    <x v="1"/>
    <x v="2"/>
    <n v="53.3"/>
    <n v="3"/>
    <n v="7.9950000000000001"/>
    <n v="167.89500000000001"/>
    <x v="25"/>
    <x v="401"/>
    <x v="0"/>
    <n v="159.9"/>
    <n v="4.7619047620000003"/>
    <x v="624"/>
    <n v="7.5"/>
  </r>
  <r>
    <x v="629"/>
    <s v="A"/>
    <x v="0"/>
    <x v="1"/>
    <x v="0"/>
    <x v="5"/>
    <n v="12.09"/>
    <n v="1"/>
    <n v="0.60450000000000004"/>
    <n v="12.6945"/>
    <x v="53"/>
    <x v="96"/>
    <x v="2"/>
    <n v="12.09"/>
    <n v="4.7619047620000003"/>
    <x v="625"/>
    <n v="8.1999999999999993"/>
  </r>
  <r>
    <x v="630"/>
    <s v="A"/>
    <x v="0"/>
    <x v="1"/>
    <x v="1"/>
    <x v="3"/>
    <n v="64.19"/>
    <n v="10"/>
    <n v="32.094999999999999"/>
    <n v="673.995"/>
    <x v="64"/>
    <x v="402"/>
    <x v="2"/>
    <n v="641.9"/>
    <n v="4.7619047620000003"/>
    <x v="626"/>
    <n v="6.7"/>
  </r>
  <r>
    <x v="631"/>
    <s v="A"/>
    <x v="0"/>
    <x v="1"/>
    <x v="1"/>
    <x v="1"/>
    <n v="78.31"/>
    <n v="3"/>
    <n v="11.746499999999999"/>
    <n v="246.6765"/>
    <x v="19"/>
    <x v="382"/>
    <x v="0"/>
    <n v="234.93"/>
    <n v="4.7619047620000003"/>
    <x v="627"/>
    <n v="5.4"/>
  </r>
  <r>
    <x v="632"/>
    <s v="A"/>
    <x v="0"/>
    <x v="0"/>
    <x v="1"/>
    <x v="4"/>
    <n v="83.77"/>
    <n v="2"/>
    <n v="8.3770000000000007"/>
    <n v="175.917"/>
    <x v="15"/>
    <x v="200"/>
    <x v="2"/>
    <n v="167.54"/>
    <n v="4.7619047620000003"/>
    <x v="628"/>
    <n v="7"/>
  </r>
  <r>
    <x v="633"/>
    <s v="B"/>
    <x v="2"/>
    <x v="1"/>
    <x v="1"/>
    <x v="2"/>
    <n v="99.7"/>
    <n v="3"/>
    <n v="14.955"/>
    <n v="314.05500000000001"/>
    <x v="79"/>
    <x v="403"/>
    <x v="0"/>
    <n v="299.10000000000002"/>
    <n v="4.7619047620000003"/>
    <x v="629"/>
    <n v="4.7"/>
  </r>
  <r>
    <x v="634"/>
    <s v="B"/>
    <x v="2"/>
    <x v="0"/>
    <x v="1"/>
    <x v="4"/>
    <n v="79.91"/>
    <n v="3"/>
    <n v="11.986499999999999"/>
    <n v="251.7165"/>
    <x v="80"/>
    <x v="198"/>
    <x v="2"/>
    <n v="239.73"/>
    <n v="4.7619047620000003"/>
    <x v="630"/>
    <n v="5"/>
  </r>
  <r>
    <x v="635"/>
    <s v="B"/>
    <x v="2"/>
    <x v="0"/>
    <x v="1"/>
    <x v="0"/>
    <n v="66.47"/>
    <n v="10"/>
    <n v="33.234999999999999"/>
    <n v="697.93499999999995"/>
    <x v="15"/>
    <x v="66"/>
    <x v="2"/>
    <n v="664.7"/>
    <n v="4.7619047620000003"/>
    <x v="631"/>
    <n v="5"/>
  </r>
  <r>
    <x v="636"/>
    <s v="A"/>
    <x v="0"/>
    <x v="1"/>
    <x v="1"/>
    <x v="0"/>
    <n v="28.95"/>
    <n v="7"/>
    <n v="10.1325"/>
    <n v="212.7825"/>
    <x v="2"/>
    <x v="106"/>
    <x v="2"/>
    <n v="202.65"/>
    <n v="4.7619047620000003"/>
    <x v="632"/>
    <n v="6"/>
  </r>
  <r>
    <x v="637"/>
    <s v="C"/>
    <x v="1"/>
    <x v="1"/>
    <x v="0"/>
    <x v="1"/>
    <n v="46.2"/>
    <n v="1"/>
    <n v="2.31"/>
    <n v="48.51"/>
    <x v="35"/>
    <x v="404"/>
    <x v="1"/>
    <n v="46.2"/>
    <n v="4.7619047620000003"/>
    <x v="633"/>
    <n v="6.3"/>
  </r>
  <r>
    <x v="638"/>
    <s v="B"/>
    <x v="2"/>
    <x v="0"/>
    <x v="0"/>
    <x v="4"/>
    <n v="17.63"/>
    <n v="5"/>
    <n v="4.4074999999999998"/>
    <n v="92.557500000000005"/>
    <x v="1"/>
    <x v="398"/>
    <x v="1"/>
    <n v="88.15"/>
    <n v="4.7619047620000003"/>
    <x v="634"/>
    <n v="8.5"/>
  </r>
  <r>
    <x v="639"/>
    <s v="B"/>
    <x v="2"/>
    <x v="1"/>
    <x v="1"/>
    <x v="5"/>
    <n v="52.42"/>
    <n v="3"/>
    <n v="7.8630000000000004"/>
    <n v="165.12299999999999"/>
    <x v="33"/>
    <x v="24"/>
    <x v="0"/>
    <n v="157.26"/>
    <n v="4.7619047620000003"/>
    <x v="635"/>
    <n v="7.5"/>
  </r>
  <r>
    <x v="640"/>
    <s v="B"/>
    <x v="2"/>
    <x v="0"/>
    <x v="0"/>
    <x v="4"/>
    <n v="98.79"/>
    <n v="3"/>
    <n v="14.8185"/>
    <n v="311.18849999999998"/>
    <x v="55"/>
    <x v="405"/>
    <x v="0"/>
    <n v="296.37"/>
    <n v="4.7619047620000003"/>
    <x v="636"/>
    <n v="6.4"/>
  </r>
  <r>
    <x v="641"/>
    <s v="C"/>
    <x v="1"/>
    <x v="0"/>
    <x v="0"/>
    <x v="1"/>
    <n v="88.55"/>
    <n v="8"/>
    <n v="35.42"/>
    <n v="743.82"/>
    <x v="35"/>
    <x v="406"/>
    <x v="0"/>
    <n v="708.4"/>
    <n v="4.7619047620000003"/>
    <x v="637"/>
    <n v="4.7"/>
  </r>
  <r>
    <x v="642"/>
    <s v="B"/>
    <x v="2"/>
    <x v="0"/>
    <x v="1"/>
    <x v="1"/>
    <n v="55.67"/>
    <n v="2"/>
    <n v="5.5670000000000002"/>
    <n v="116.907"/>
    <x v="39"/>
    <x v="264"/>
    <x v="0"/>
    <n v="111.34"/>
    <n v="4.7619047620000003"/>
    <x v="638"/>
    <n v="6"/>
  </r>
  <r>
    <x v="643"/>
    <s v="C"/>
    <x v="1"/>
    <x v="0"/>
    <x v="0"/>
    <x v="4"/>
    <n v="72.52"/>
    <n v="8"/>
    <n v="29.007999999999999"/>
    <n v="609.16800000000001"/>
    <x v="73"/>
    <x v="206"/>
    <x v="2"/>
    <n v="580.16"/>
    <n v="4.7619047620000003"/>
    <x v="639"/>
    <n v="4"/>
  </r>
  <r>
    <x v="644"/>
    <s v="C"/>
    <x v="1"/>
    <x v="0"/>
    <x v="1"/>
    <x v="1"/>
    <n v="12.05"/>
    <n v="5"/>
    <n v="3.0125000000000002"/>
    <n v="63.262500000000003"/>
    <x v="69"/>
    <x v="183"/>
    <x v="0"/>
    <n v="60.25"/>
    <n v="4.7619047620000003"/>
    <x v="640"/>
    <n v="5.5"/>
  </r>
  <r>
    <x v="645"/>
    <s v="A"/>
    <x v="0"/>
    <x v="0"/>
    <x v="1"/>
    <x v="2"/>
    <n v="19.36"/>
    <n v="9"/>
    <n v="8.7119999999999997"/>
    <n v="182.952"/>
    <x v="68"/>
    <x v="362"/>
    <x v="0"/>
    <n v="174.24"/>
    <n v="4.7619047620000003"/>
    <x v="641"/>
    <n v="8.6999999999999993"/>
  </r>
  <r>
    <x v="646"/>
    <s v="C"/>
    <x v="1"/>
    <x v="1"/>
    <x v="1"/>
    <x v="0"/>
    <n v="70.209999999999994"/>
    <n v="6"/>
    <n v="21.062999999999999"/>
    <n v="442.32299999999998"/>
    <x v="73"/>
    <x v="407"/>
    <x v="1"/>
    <n v="421.26"/>
    <n v="4.7619047620000003"/>
    <x v="642"/>
    <n v="7.4"/>
  </r>
  <r>
    <x v="647"/>
    <s v="B"/>
    <x v="2"/>
    <x v="0"/>
    <x v="1"/>
    <x v="5"/>
    <n v="33.630000000000003"/>
    <n v="1"/>
    <n v="1.6815"/>
    <n v="35.311500000000002"/>
    <x v="80"/>
    <x v="374"/>
    <x v="1"/>
    <n v="33.630000000000003"/>
    <n v="4.7619047620000003"/>
    <x v="643"/>
    <n v="5.6"/>
  </r>
  <r>
    <x v="648"/>
    <s v="C"/>
    <x v="1"/>
    <x v="0"/>
    <x v="0"/>
    <x v="3"/>
    <n v="15.49"/>
    <n v="2"/>
    <n v="1.5489999999999999"/>
    <n v="32.529000000000003"/>
    <x v="65"/>
    <x v="50"/>
    <x v="1"/>
    <n v="30.98"/>
    <n v="4.7619047620000003"/>
    <x v="644"/>
    <n v="6.3"/>
  </r>
  <r>
    <x v="649"/>
    <s v="C"/>
    <x v="1"/>
    <x v="1"/>
    <x v="1"/>
    <x v="1"/>
    <n v="24.74"/>
    <n v="10"/>
    <n v="12.37"/>
    <n v="259.77"/>
    <x v="7"/>
    <x v="95"/>
    <x v="1"/>
    <n v="247.4"/>
    <n v="4.7619047620000003"/>
    <x v="645"/>
    <n v="7.1"/>
  </r>
  <r>
    <x v="650"/>
    <s v="B"/>
    <x v="2"/>
    <x v="1"/>
    <x v="1"/>
    <x v="1"/>
    <n v="75.66"/>
    <n v="5"/>
    <n v="18.914999999999999"/>
    <n v="397.21499999999997"/>
    <x v="15"/>
    <x v="282"/>
    <x v="0"/>
    <n v="378.3"/>
    <n v="4.7619047620000003"/>
    <x v="646"/>
    <n v="7.8"/>
  </r>
  <r>
    <x v="651"/>
    <s v="B"/>
    <x v="2"/>
    <x v="1"/>
    <x v="0"/>
    <x v="0"/>
    <n v="55.81"/>
    <n v="6"/>
    <n v="16.742999999999999"/>
    <n v="351.60300000000001"/>
    <x v="49"/>
    <x v="408"/>
    <x v="1"/>
    <n v="334.86"/>
    <n v="4.7619047620000003"/>
    <x v="647"/>
    <n v="9.9"/>
  </r>
  <r>
    <x v="652"/>
    <s v="A"/>
    <x v="0"/>
    <x v="0"/>
    <x v="1"/>
    <x v="2"/>
    <n v="72.78"/>
    <n v="10"/>
    <n v="36.39"/>
    <n v="764.19"/>
    <x v="36"/>
    <x v="45"/>
    <x v="1"/>
    <n v="727.8"/>
    <n v="4.7619047620000003"/>
    <x v="648"/>
    <n v="7.3"/>
  </r>
  <r>
    <x v="653"/>
    <s v="B"/>
    <x v="2"/>
    <x v="0"/>
    <x v="1"/>
    <x v="3"/>
    <n v="37.32"/>
    <n v="9"/>
    <n v="16.794"/>
    <n v="352.67399999999998"/>
    <x v="43"/>
    <x v="26"/>
    <x v="0"/>
    <n v="335.88"/>
    <n v="4.7619047620000003"/>
    <x v="649"/>
    <n v="5.0999999999999996"/>
  </r>
  <r>
    <x v="654"/>
    <s v="B"/>
    <x v="2"/>
    <x v="0"/>
    <x v="1"/>
    <x v="5"/>
    <n v="60.18"/>
    <n v="4"/>
    <n v="12.036"/>
    <n v="252.756"/>
    <x v="69"/>
    <x v="358"/>
    <x v="2"/>
    <n v="240.72"/>
    <n v="4.7619047620000003"/>
    <x v="650"/>
    <n v="9.4"/>
  </r>
  <r>
    <x v="655"/>
    <s v="A"/>
    <x v="0"/>
    <x v="1"/>
    <x v="0"/>
    <x v="1"/>
    <n v="15.69"/>
    <n v="3"/>
    <n v="2.3534999999999999"/>
    <n v="49.423499999999997"/>
    <x v="86"/>
    <x v="385"/>
    <x v="2"/>
    <n v="47.07"/>
    <n v="4.7619047620000003"/>
    <x v="651"/>
    <n v="5.8"/>
  </r>
  <r>
    <x v="656"/>
    <s v="C"/>
    <x v="1"/>
    <x v="1"/>
    <x v="0"/>
    <x v="1"/>
    <n v="99.69"/>
    <n v="1"/>
    <n v="4.9844999999999997"/>
    <n v="104.67449999999999"/>
    <x v="33"/>
    <x v="81"/>
    <x v="2"/>
    <n v="99.69"/>
    <n v="4.7619047620000003"/>
    <x v="652"/>
    <n v="8"/>
  </r>
  <r>
    <x v="657"/>
    <s v="A"/>
    <x v="0"/>
    <x v="0"/>
    <x v="0"/>
    <x v="5"/>
    <n v="88.15"/>
    <n v="3"/>
    <n v="13.2225"/>
    <n v="277.67250000000001"/>
    <x v="68"/>
    <x v="41"/>
    <x v="0"/>
    <n v="264.45"/>
    <n v="4.7619047620000003"/>
    <x v="653"/>
    <n v="7.9"/>
  </r>
  <r>
    <x v="658"/>
    <s v="A"/>
    <x v="0"/>
    <x v="0"/>
    <x v="0"/>
    <x v="3"/>
    <n v="27.93"/>
    <n v="5"/>
    <n v="6.9824999999999999"/>
    <n v="146.63249999999999"/>
    <x v="71"/>
    <x v="74"/>
    <x v="1"/>
    <n v="139.65"/>
    <n v="4.7619047620000003"/>
    <x v="654"/>
    <n v="5.9"/>
  </r>
  <r>
    <x v="659"/>
    <s v="A"/>
    <x v="0"/>
    <x v="0"/>
    <x v="1"/>
    <x v="5"/>
    <n v="55.45"/>
    <n v="1"/>
    <n v="2.7725"/>
    <n v="58.222499999999997"/>
    <x v="84"/>
    <x v="409"/>
    <x v="2"/>
    <n v="55.45"/>
    <n v="4.7619047620000003"/>
    <x v="655"/>
    <n v="4.9000000000000004"/>
  </r>
  <r>
    <x v="660"/>
    <s v="B"/>
    <x v="2"/>
    <x v="1"/>
    <x v="0"/>
    <x v="3"/>
    <n v="42.97"/>
    <n v="3"/>
    <n v="6.4455"/>
    <n v="135.35550000000001"/>
    <x v="36"/>
    <x v="246"/>
    <x v="1"/>
    <n v="128.91"/>
    <n v="4.7619047620000003"/>
    <x v="656"/>
    <n v="9.3000000000000007"/>
  </r>
  <r>
    <x v="661"/>
    <s v="C"/>
    <x v="1"/>
    <x v="0"/>
    <x v="1"/>
    <x v="3"/>
    <n v="17.14"/>
    <n v="7"/>
    <n v="5.9989999999999997"/>
    <n v="125.979"/>
    <x v="65"/>
    <x v="348"/>
    <x v="2"/>
    <n v="119.98"/>
    <n v="4.7619047620000003"/>
    <x v="657"/>
    <n v="7.9"/>
  </r>
  <r>
    <x v="662"/>
    <s v="B"/>
    <x v="2"/>
    <x v="0"/>
    <x v="0"/>
    <x v="5"/>
    <n v="58.75"/>
    <n v="6"/>
    <n v="17.625"/>
    <n v="370.125"/>
    <x v="62"/>
    <x v="92"/>
    <x v="2"/>
    <n v="352.5"/>
    <n v="4.7619047620000003"/>
    <x v="658"/>
    <n v="5.9"/>
  </r>
  <r>
    <x v="663"/>
    <s v="C"/>
    <x v="1"/>
    <x v="0"/>
    <x v="0"/>
    <x v="4"/>
    <n v="87.1"/>
    <n v="10"/>
    <n v="43.55"/>
    <n v="914.55"/>
    <x v="12"/>
    <x v="410"/>
    <x v="2"/>
    <n v="871"/>
    <n v="4.7619047620000003"/>
    <x v="659"/>
    <n v="9.9"/>
  </r>
  <r>
    <x v="664"/>
    <s v="C"/>
    <x v="1"/>
    <x v="1"/>
    <x v="0"/>
    <x v="3"/>
    <n v="98.8"/>
    <n v="2"/>
    <n v="9.8800000000000008"/>
    <n v="207.48"/>
    <x v="81"/>
    <x v="411"/>
    <x v="1"/>
    <n v="197.6"/>
    <n v="4.7619047620000003"/>
    <x v="660"/>
    <n v="7.7"/>
  </r>
  <r>
    <x v="665"/>
    <s v="A"/>
    <x v="0"/>
    <x v="1"/>
    <x v="0"/>
    <x v="5"/>
    <n v="48.63"/>
    <n v="4"/>
    <n v="9.7260000000000009"/>
    <n v="204.24600000000001"/>
    <x v="87"/>
    <x v="284"/>
    <x v="0"/>
    <n v="194.52"/>
    <n v="4.7619047620000003"/>
    <x v="661"/>
    <n v="7.6"/>
  </r>
  <r>
    <x v="666"/>
    <s v="B"/>
    <x v="2"/>
    <x v="0"/>
    <x v="1"/>
    <x v="4"/>
    <n v="57.74"/>
    <n v="3"/>
    <n v="8.6609999999999996"/>
    <n v="181.881"/>
    <x v="9"/>
    <x v="412"/>
    <x v="0"/>
    <n v="173.22"/>
    <n v="4.7619047620000003"/>
    <x v="662"/>
    <n v="7.7"/>
  </r>
  <r>
    <x v="667"/>
    <s v="B"/>
    <x v="2"/>
    <x v="1"/>
    <x v="0"/>
    <x v="0"/>
    <n v="17.97"/>
    <n v="4"/>
    <n v="3.5939999999999999"/>
    <n v="75.474000000000004"/>
    <x v="55"/>
    <x v="413"/>
    <x v="0"/>
    <n v="71.88"/>
    <n v="4.7619047620000003"/>
    <x v="663"/>
    <n v="6.4"/>
  </r>
  <r>
    <x v="668"/>
    <s v="C"/>
    <x v="1"/>
    <x v="0"/>
    <x v="0"/>
    <x v="0"/>
    <n v="47.71"/>
    <n v="6"/>
    <n v="14.313000000000001"/>
    <n v="300.57299999999998"/>
    <x v="69"/>
    <x v="401"/>
    <x v="0"/>
    <n v="286.26"/>
    <n v="4.7619047620000003"/>
    <x v="664"/>
    <n v="4.4000000000000004"/>
  </r>
  <r>
    <x v="669"/>
    <s v="B"/>
    <x v="2"/>
    <x v="1"/>
    <x v="0"/>
    <x v="3"/>
    <n v="40.619999999999997"/>
    <n v="2"/>
    <n v="4.0620000000000003"/>
    <n v="85.302000000000007"/>
    <x v="29"/>
    <x v="175"/>
    <x v="2"/>
    <n v="81.239999999999995"/>
    <n v="4.7619047620000003"/>
    <x v="665"/>
    <n v="4.0999999999999996"/>
  </r>
  <r>
    <x v="670"/>
    <s v="A"/>
    <x v="0"/>
    <x v="0"/>
    <x v="1"/>
    <x v="5"/>
    <n v="56.04"/>
    <n v="10"/>
    <n v="28.02"/>
    <n v="588.41999999999996"/>
    <x v="78"/>
    <x v="171"/>
    <x v="0"/>
    <n v="560.4"/>
    <n v="4.7619047620000003"/>
    <x v="666"/>
    <n v="4.4000000000000004"/>
  </r>
  <r>
    <x v="671"/>
    <s v="B"/>
    <x v="2"/>
    <x v="0"/>
    <x v="1"/>
    <x v="4"/>
    <n v="93.4"/>
    <n v="2"/>
    <n v="9.34"/>
    <n v="196.14"/>
    <x v="73"/>
    <x v="414"/>
    <x v="1"/>
    <n v="186.8"/>
    <n v="4.7619047620000003"/>
    <x v="667"/>
    <n v="5.5"/>
  </r>
  <r>
    <x v="672"/>
    <s v="B"/>
    <x v="2"/>
    <x v="1"/>
    <x v="0"/>
    <x v="0"/>
    <n v="73.41"/>
    <n v="3"/>
    <n v="11.0115"/>
    <n v="231.2415"/>
    <x v="22"/>
    <x v="415"/>
    <x v="0"/>
    <n v="220.23"/>
    <n v="4.7619047620000003"/>
    <x v="668"/>
    <n v="4"/>
  </r>
  <r>
    <x v="673"/>
    <s v="C"/>
    <x v="1"/>
    <x v="1"/>
    <x v="1"/>
    <x v="0"/>
    <n v="33.64"/>
    <n v="8"/>
    <n v="13.456"/>
    <n v="282.57600000000002"/>
    <x v="42"/>
    <x v="416"/>
    <x v="2"/>
    <n v="269.12"/>
    <n v="4.7619047620000003"/>
    <x v="669"/>
    <n v="9.3000000000000007"/>
  </r>
  <r>
    <x v="674"/>
    <s v="A"/>
    <x v="0"/>
    <x v="1"/>
    <x v="0"/>
    <x v="1"/>
    <n v="45.48"/>
    <n v="10"/>
    <n v="22.74"/>
    <n v="477.54"/>
    <x v="59"/>
    <x v="417"/>
    <x v="2"/>
    <n v="454.8"/>
    <n v="4.7619047620000003"/>
    <x v="670"/>
    <n v="4.8"/>
  </r>
  <r>
    <x v="675"/>
    <s v="B"/>
    <x v="2"/>
    <x v="0"/>
    <x v="1"/>
    <x v="5"/>
    <n v="83.77"/>
    <n v="2"/>
    <n v="8.3770000000000007"/>
    <n v="175.917"/>
    <x v="7"/>
    <x v="129"/>
    <x v="1"/>
    <n v="167.54"/>
    <n v="4.7619047620000003"/>
    <x v="628"/>
    <n v="4.5999999999999996"/>
  </r>
  <r>
    <x v="676"/>
    <s v="B"/>
    <x v="2"/>
    <x v="0"/>
    <x v="0"/>
    <x v="3"/>
    <n v="64.08"/>
    <n v="7"/>
    <n v="22.428000000000001"/>
    <n v="470.988"/>
    <x v="88"/>
    <x v="418"/>
    <x v="2"/>
    <n v="448.56"/>
    <n v="4.7619047620000003"/>
    <x v="671"/>
    <n v="7.3"/>
  </r>
  <r>
    <x v="677"/>
    <s v="A"/>
    <x v="0"/>
    <x v="0"/>
    <x v="0"/>
    <x v="4"/>
    <n v="73.47"/>
    <n v="4"/>
    <n v="14.694000000000001"/>
    <n v="308.57400000000001"/>
    <x v="55"/>
    <x v="5"/>
    <x v="1"/>
    <n v="293.88"/>
    <n v="4.7619047620000003"/>
    <x v="672"/>
    <n v="6"/>
  </r>
  <r>
    <x v="678"/>
    <s v="C"/>
    <x v="1"/>
    <x v="1"/>
    <x v="1"/>
    <x v="0"/>
    <n v="58.95"/>
    <n v="10"/>
    <n v="29.475000000000001"/>
    <n v="618.97500000000002"/>
    <x v="13"/>
    <x v="419"/>
    <x v="0"/>
    <n v="589.5"/>
    <n v="4.7619047620000003"/>
    <x v="673"/>
    <n v="8.1"/>
  </r>
  <r>
    <x v="679"/>
    <s v="A"/>
    <x v="0"/>
    <x v="0"/>
    <x v="1"/>
    <x v="4"/>
    <n v="48.5"/>
    <n v="6"/>
    <n v="14.55"/>
    <n v="305.55"/>
    <x v="83"/>
    <x v="317"/>
    <x v="0"/>
    <n v="291"/>
    <n v="4.7619047620000003"/>
    <x v="674"/>
    <n v="9.4"/>
  </r>
  <r>
    <x v="680"/>
    <s v="B"/>
    <x v="2"/>
    <x v="0"/>
    <x v="0"/>
    <x v="1"/>
    <n v="39.479999999999997"/>
    <n v="1"/>
    <n v="1.974"/>
    <n v="41.454000000000001"/>
    <x v="12"/>
    <x v="213"/>
    <x v="1"/>
    <n v="39.479999999999997"/>
    <n v="4.7619047620000003"/>
    <x v="675"/>
    <n v="6.5"/>
  </r>
  <r>
    <x v="681"/>
    <s v="B"/>
    <x v="2"/>
    <x v="1"/>
    <x v="0"/>
    <x v="3"/>
    <n v="34.81"/>
    <n v="1"/>
    <n v="1.7404999999999999"/>
    <n v="36.5505"/>
    <x v="78"/>
    <x v="41"/>
    <x v="2"/>
    <n v="34.81"/>
    <n v="4.7619047620000003"/>
    <x v="676"/>
    <n v="7"/>
  </r>
  <r>
    <x v="682"/>
    <s v="C"/>
    <x v="1"/>
    <x v="1"/>
    <x v="0"/>
    <x v="5"/>
    <n v="49.32"/>
    <n v="6"/>
    <n v="14.795999999999999"/>
    <n v="310.71600000000001"/>
    <x v="51"/>
    <x v="190"/>
    <x v="0"/>
    <n v="295.92"/>
    <n v="4.7619047620000003"/>
    <x v="677"/>
    <n v="7.1"/>
  </r>
  <r>
    <x v="683"/>
    <s v="A"/>
    <x v="0"/>
    <x v="0"/>
    <x v="1"/>
    <x v="5"/>
    <n v="21.48"/>
    <n v="2"/>
    <n v="2.1480000000000001"/>
    <n v="45.107999999999997"/>
    <x v="33"/>
    <x v="420"/>
    <x v="0"/>
    <n v="42.96"/>
    <n v="4.7619047620000003"/>
    <x v="678"/>
    <n v="6.6"/>
  </r>
  <r>
    <x v="684"/>
    <s v="B"/>
    <x v="2"/>
    <x v="0"/>
    <x v="0"/>
    <x v="3"/>
    <n v="23.08"/>
    <n v="6"/>
    <n v="6.9240000000000004"/>
    <n v="145.404"/>
    <x v="46"/>
    <x v="25"/>
    <x v="0"/>
    <n v="138.47999999999999"/>
    <n v="4.7619047620000003"/>
    <x v="679"/>
    <n v="4.9000000000000004"/>
  </r>
  <r>
    <x v="685"/>
    <s v="B"/>
    <x v="2"/>
    <x v="0"/>
    <x v="0"/>
    <x v="2"/>
    <n v="49.1"/>
    <n v="2"/>
    <n v="4.91"/>
    <n v="103.11"/>
    <x v="66"/>
    <x v="187"/>
    <x v="2"/>
    <n v="98.2"/>
    <n v="4.7619047620000003"/>
    <x v="680"/>
    <n v="6.4"/>
  </r>
  <r>
    <x v="686"/>
    <s v="B"/>
    <x v="2"/>
    <x v="0"/>
    <x v="0"/>
    <x v="3"/>
    <n v="64.83"/>
    <n v="2"/>
    <n v="6.4829999999999997"/>
    <n v="136.143"/>
    <x v="66"/>
    <x v="421"/>
    <x v="2"/>
    <n v="129.66"/>
    <n v="4.7619047620000003"/>
    <x v="681"/>
    <n v="8"/>
  </r>
  <r>
    <x v="687"/>
    <s v="A"/>
    <x v="0"/>
    <x v="0"/>
    <x v="1"/>
    <x v="2"/>
    <n v="63.56"/>
    <n v="10"/>
    <n v="31.78"/>
    <n v="667.38"/>
    <x v="65"/>
    <x v="422"/>
    <x v="1"/>
    <n v="635.6"/>
    <n v="4.7619047620000003"/>
    <x v="682"/>
    <n v="4.3"/>
  </r>
  <r>
    <x v="688"/>
    <s v="C"/>
    <x v="1"/>
    <x v="0"/>
    <x v="1"/>
    <x v="3"/>
    <n v="72.88"/>
    <n v="2"/>
    <n v="7.2880000000000003"/>
    <n v="153.048"/>
    <x v="45"/>
    <x v="423"/>
    <x v="1"/>
    <n v="145.76"/>
    <n v="4.7619047620000003"/>
    <x v="683"/>
    <n v="6.1"/>
  </r>
  <r>
    <x v="689"/>
    <s v="A"/>
    <x v="0"/>
    <x v="1"/>
    <x v="0"/>
    <x v="4"/>
    <n v="67.099999999999994"/>
    <n v="3"/>
    <n v="10.065"/>
    <n v="211.36500000000001"/>
    <x v="42"/>
    <x v="130"/>
    <x v="1"/>
    <n v="201.3"/>
    <n v="4.7619047620000003"/>
    <x v="684"/>
    <n v="7.5"/>
  </r>
  <r>
    <x v="690"/>
    <s v="C"/>
    <x v="1"/>
    <x v="0"/>
    <x v="0"/>
    <x v="3"/>
    <n v="70.19"/>
    <n v="9"/>
    <n v="31.5855"/>
    <n v="663.29549999999995"/>
    <x v="25"/>
    <x v="309"/>
    <x v="1"/>
    <n v="631.71"/>
    <n v="4.7619047620000003"/>
    <x v="685"/>
    <n v="6.7"/>
  </r>
  <r>
    <x v="691"/>
    <s v="C"/>
    <x v="1"/>
    <x v="0"/>
    <x v="1"/>
    <x v="4"/>
    <n v="55.04"/>
    <n v="7"/>
    <n v="19.263999999999999"/>
    <n v="404.54399999999998"/>
    <x v="41"/>
    <x v="30"/>
    <x v="0"/>
    <n v="385.28"/>
    <n v="4.7619047620000003"/>
    <x v="686"/>
    <n v="5.2"/>
  </r>
  <r>
    <x v="692"/>
    <s v="A"/>
    <x v="0"/>
    <x v="0"/>
    <x v="1"/>
    <x v="0"/>
    <n v="48.63"/>
    <n v="10"/>
    <n v="24.315000000000001"/>
    <n v="510.61500000000001"/>
    <x v="31"/>
    <x v="104"/>
    <x v="1"/>
    <n v="486.3"/>
    <n v="4.7619047620000003"/>
    <x v="687"/>
    <n v="8.8000000000000007"/>
  </r>
  <r>
    <x v="693"/>
    <s v="C"/>
    <x v="1"/>
    <x v="0"/>
    <x v="0"/>
    <x v="5"/>
    <n v="73.38"/>
    <n v="7"/>
    <n v="25.683"/>
    <n v="539.34299999999996"/>
    <x v="34"/>
    <x v="424"/>
    <x v="1"/>
    <n v="513.66"/>
    <n v="4.7619047620000003"/>
    <x v="688"/>
    <n v="9.5"/>
  </r>
  <r>
    <x v="694"/>
    <s v="C"/>
    <x v="1"/>
    <x v="1"/>
    <x v="0"/>
    <x v="4"/>
    <n v="52.6"/>
    <n v="9"/>
    <n v="23.67"/>
    <n v="497.07"/>
    <x v="65"/>
    <x v="51"/>
    <x v="1"/>
    <n v="473.4"/>
    <n v="4.7619047620000003"/>
    <x v="689"/>
    <n v="7.6"/>
  </r>
  <r>
    <x v="695"/>
    <s v="A"/>
    <x v="0"/>
    <x v="0"/>
    <x v="0"/>
    <x v="2"/>
    <n v="87.37"/>
    <n v="5"/>
    <n v="21.842500000000001"/>
    <n v="458.6925"/>
    <x v="71"/>
    <x v="425"/>
    <x v="1"/>
    <n v="436.85"/>
    <n v="4.7619047620000003"/>
    <x v="690"/>
    <n v="6.6"/>
  </r>
  <r>
    <x v="696"/>
    <s v="A"/>
    <x v="0"/>
    <x v="0"/>
    <x v="0"/>
    <x v="3"/>
    <n v="27.04"/>
    <n v="4"/>
    <n v="5.4080000000000004"/>
    <n v="113.568"/>
    <x v="17"/>
    <x v="263"/>
    <x v="0"/>
    <n v="108.16"/>
    <n v="4.7619047620000003"/>
    <x v="691"/>
    <n v="6.9"/>
  </r>
  <r>
    <x v="697"/>
    <s v="B"/>
    <x v="2"/>
    <x v="1"/>
    <x v="1"/>
    <x v="2"/>
    <n v="62.19"/>
    <n v="4"/>
    <n v="12.438000000000001"/>
    <n v="261.19799999999998"/>
    <x v="47"/>
    <x v="162"/>
    <x v="0"/>
    <n v="248.76"/>
    <n v="4.7619047620000003"/>
    <x v="692"/>
    <n v="4.3"/>
  </r>
  <r>
    <x v="698"/>
    <s v="A"/>
    <x v="0"/>
    <x v="0"/>
    <x v="1"/>
    <x v="1"/>
    <n v="69.58"/>
    <n v="9"/>
    <n v="31.311"/>
    <n v="657.53099999999995"/>
    <x v="88"/>
    <x v="371"/>
    <x v="2"/>
    <n v="626.22"/>
    <n v="4.7619047620000003"/>
    <x v="693"/>
    <n v="7.8"/>
  </r>
  <r>
    <x v="699"/>
    <s v="C"/>
    <x v="1"/>
    <x v="1"/>
    <x v="1"/>
    <x v="2"/>
    <n v="97.5"/>
    <n v="10"/>
    <n v="48.75"/>
    <n v="1023.75"/>
    <x v="52"/>
    <x v="426"/>
    <x v="0"/>
    <n v="975"/>
    <n v="4.7619047620000003"/>
    <x v="694"/>
    <n v="8"/>
  </r>
  <r>
    <x v="700"/>
    <s v="C"/>
    <x v="1"/>
    <x v="1"/>
    <x v="0"/>
    <x v="5"/>
    <n v="60.41"/>
    <n v="8"/>
    <n v="24.164000000000001"/>
    <n v="507.44400000000002"/>
    <x v="13"/>
    <x v="384"/>
    <x v="0"/>
    <n v="483.28"/>
    <n v="4.7619047620000003"/>
    <x v="695"/>
    <n v="9.6"/>
  </r>
  <r>
    <x v="701"/>
    <s v="B"/>
    <x v="2"/>
    <x v="1"/>
    <x v="1"/>
    <x v="4"/>
    <n v="32.32"/>
    <n v="3"/>
    <n v="4.8479999999999999"/>
    <n v="101.80800000000001"/>
    <x v="39"/>
    <x v="386"/>
    <x v="2"/>
    <n v="96.96"/>
    <n v="4.7619047620000003"/>
    <x v="696"/>
    <n v="4.3"/>
  </r>
  <r>
    <x v="702"/>
    <s v="B"/>
    <x v="2"/>
    <x v="0"/>
    <x v="0"/>
    <x v="5"/>
    <n v="19.77"/>
    <n v="10"/>
    <n v="9.8849999999999998"/>
    <n v="207.58500000000001"/>
    <x v="33"/>
    <x v="427"/>
    <x v="2"/>
    <n v="197.7"/>
    <n v="4.7619047620000003"/>
    <x v="697"/>
    <n v="5"/>
  </r>
  <r>
    <x v="703"/>
    <s v="B"/>
    <x v="2"/>
    <x v="0"/>
    <x v="1"/>
    <x v="0"/>
    <n v="80.47"/>
    <n v="9"/>
    <n v="36.211500000000001"/>
    <n v="760.44150000000002"/>
    <x v="47"/>
    <x v="428"/>
    <x v="1"/>
    <n v="724.23"/>
    <n v="4.7619047620000003"/>
    <x v="698"/>
    <n v="9.1999999999999993"/>
  </r>
  <r>
    <x v="704"/>
    <s v="B"/>
    <x v="2"/>
    <x v="0"/>
    <x v="0"/>
    <x v="2"/>
    <n v="88.39"/>
    <n v="9"/>
    <n v="39.775500000000001"/>
    <n v="835.28549999999996"/>
    <x v="22"/>
    <x v="343"/>
    <x v="1"/>
    <n v="795.51"/>
    <n v="4.7619047620000003"/>
    <x v="699"/>
    <n v="6.3"/>
  </r>
  <r>
    <x v="705"/>
    <s v="B"/>
    <x v="2"/>
    <x v="1"/>
    <x v="1"/>
    <x v="0"/>
    <n v="71.77"/>
    <n v="7"/>
    <n v="25.119499999999999"/>
    <n v="527.5095"/>
    <x v="14"/>
    <x v="429"/>
    <x v="1"/>
    <n v="502.39"/>
    <n v="4.7619047620000003"/>
    <x v="700"/>
    <n v="8.9"/>
  </r>
  <r>
    <x v="706"/>
    <s v="B"/>
    <x v="2"/>
    <x v="1"/>
    <x v="0"/>
    <x v="1"/>
    <n v="43"/>
    <n v="4"/>
    <n v="8.6"/>
    <n v="180.6"/>
    <x v="82"/>
    <x v="109"/>
    <x v="0"/>
    <n v="172"/>
    <n v="4.7619047620000003"/>
    <x v="701"/>
    <n v="7.6"/>
  </r>
  <r>
    <x v="707"/>
    <s v="C"/>
    <x v="1"/>
    <x v="0"/>
    <x v="1"/>
    <x v="4"/>
    <n v="68.98"/>
    <n v="1"/>
    <n v="3.4489999999999998"/>
    <n v="72.429000000000002"/>
    <x v="18"/>
    <x v="430"/>
    <x v="1"/>
    <n v="68.98"/>
    <n v="4.7619047620000003"/>
    <x v="702"/>
    <n v="4.8"/>
  </r>
  <r>
    <x v="708"/>
    <s v="C"/>
    <x v="1"/>
    <x v="1"/>
    <x v="1"/>
    <x v="5"/>
    <n v="15.62"/>
    <n v="8"/>
    <n v="6.2480000000000002"/>
    <n v="131.208"/>
    <x v="40"/>
    <x v="291"/>
    <x v="0"/>
    <n v="124.96"/>
    <n v="4.7619047620000003"/>
    <x v="703"/>
    <n v="9.1"/>
  </r>
  <r>
    <x v="709"/>
    <s v="A"/>
    <x v="0"/>
    <x v="1"/>
    <x v="1"/>
    <x v="3"/>
    <n v="25.7"/>
    <n v="3"/>
    <n v="3.855"/>
    <n v="80.954999999999998"/>
    <x v="29"/>
    <x v="422"/>
    <x v="0"/>
    <n v="77.099999999999994"/>
    <n v="4.7619047620000003"/>
    <x v="704"/>
    <n v="6.1"/>
  </r>
  <r>
    <x v="710"/>
    <s v="A"/>
    <x v="0"/>
    <x v="0"/>
    <x v="1"/>
    <x v="4"/>
    <n v="80.62"/>
    <n v="6"/>
    <n v="24.186"/>
    <n v="507.90600000000001"/>
    <x v="38"/>
    <x v="307"/>
    <x v="1"/>
    <n v="483.72"/>
    <n v="4.7619047620000003"/>
    <x v="705"/>
    <n v="9.1"/>
  </r>
  <r>
    <x v="711"/>
    <s v="C"/>
    <x v="1"/>
    <x v="0"/>
    <x v="0"/>
    <x v="2"/>
    <n v="75.53"/>
    <n v="4"/>
    <n v="15.106"/>
    <n v="317.226"/>
    <x v="35"/>
    <x v="350"/>
    <x v="0"/>
    <n v="302.12"/>
    <n v="4.7619047620000003"/>
    <x v="706"/>
    <n v="8.3000000000000007"/>
  </r>
  <r>
    <x v="712"/>
    <s v="C"/>
    <x v="1"/>
    <x v="1"/>
    <x v="0"/>
    <x v="1"/>
    <n v="77.63"/>
    <n v="9"/>
    <n v="34.933500000000002"/>
    <n v="733.60350000000005"/>
    <x v="88"/>
    <x v="431"/>
    <x v="0"/>
    <n v="698.67"/>
    <n v="4.7619047620000003"/>
    <x v="707"/>
    <n v="7.2"/>
  </r>
  <r>
    <x v="713"/>
    <s v="C"/>
    <x v="1"/>
    <x v="1"/>
    <x v="0"/>
    <x v="0"/>
    <n v="13.85"/>
    <n v="9"/>
    <n v="6.2324999999999999"/>
    <n v="130.88249999999999"/>
    <x v="87"/>
    <x v="165"/>
    <x v="0"/>
    <n v="124.65"/>
    <n v="4.7619047620000003"/>
    <x v="708"/>
    <n v="6"/>
  </r>
  <r>
    <x v="714"/>
    <s v="C"/>
    <x v="1"/>
    <x v="0"/>
    <x v="1"/>
    <x v="5"/>
    <n v="98.7"/>
    <n v="8"/>
    <n v="39.479999999999997"/>
    <n v="829.08"/>
    <x v="82"/>
    <x v="130"/>
    <x v="0"/>
    <n v="789.6"/>
    <n v="4.7619047620000003"/>
    <x v="43"/>
    <n v="8.5"/>
  </r>
  <r>
    <x v="715"/>
    <s v="A"/>
    <x v="0"/>
    <x v="1"/>
    <x v="0"/>
    <x v="0"/>
    <n v="35.68"/>
    <n v="5"/>
    <n v="8.92"/>
    <n v="187.32"/>
    <x v="10"/>
    <x v="333"/>
    <x v="2"/>
    <n v="178.4"/>
    <n v="4.7619047620000003"/>
    <x v="709"/>
    <n v="6.6"/>
  </r>
  <r>
    <x v="716"/>
    <s v="A"/>
    <x v="0"/>
    <x v="0"/>
    <x v="0"/>
    <x v="5"/>
    <n v="71.459999999999994"/>
    <n v="7"/>
    <n v="25.010999999999999"/>
    <n v="525.23099999999999"/>
    <x v="61"/>
    <x v="432"/>
    <x v="0"/>
    <n v="500.22"/>
    <n v="4.7619047620000003"/>
    <x v="710"/>
    <n v="4.5"/>
  </r>
  <r>
    <x v="717"/>
    <s v="A"/>
    <x v="0"/>
    <x v="0"/>
    <x v="1"/>
    <x v="1"/>
    <n v="11.94"/>
    <n v="3"/>
    <n v="1.7909999999999999"/>
    <n v="37.610999999999997"/>
    <x v="64"/>
    <x v="433"/>
    <x v="2"/>
    <n v="35.82"/>
    <n v="4.7619047620000003"/>
    <x v="711"/>
    <n v="8.1"/>
  </r>
  <r>
    <x v="718"/>
    <s v="A"/>
    <x v="0"/>
    <x v="1"/>
    <x v="1"/>
    <x v="5"/>
    <n v="45.38"/>
    <n v="3"/>
    <n v="6.8070000000000004"/>
    <n v="142.947"/>
    <x v="21"/>
    <x v="229"/>
    <x v="2"/>
    <n v="136.13999999999999"/>
    <n v="4.7619047620000003"/>
    <x v="712"/>
    <n v="7.2"/>
  </r>
  <r>
    <x v="719"/>
    <s v="B"/>
    <x v="2"/>
    <x v="0"/>
    <x v="0"/>
    <x v="5"/>
    <n v="17.48"/>
    <n v="6"/>
    <n v="5.2439999999999998"/>
    <n v="110.124"/>
    <x v="68"/>
    <x v="278"/>
    <x v="2"/>
    <n v="104.88"/>
    <n v="4.7619047620000003"/>
    <x v="713"/>
    <n v="6.1"/>
  </r>
  <r>
    <x v="720"/>
    <s v="B"/>
    <x v="2"/>
    <x v="1"/>
    <x v="0"/>
    <x v="5"/>
    <n v="25.56"/>
    <n v="7"/>
    <n v="8.9459999999999997"/>
    <n v="187.86600000000001"/>
    <x v="30"/>
    <x v="434"/>
    <x v="1"/>
    <n v="178.92"/>
    <n v="4.7619047620000003"/>
    <x v="714"/>
    <n v="7.1"/>
  </r>
  <r>
    <x v="721"/>
    <s v="C"/>
    <x v="1"/>
    <x v="0"/>
    <x v="0"/>
    <x v="3"/>
    <n v="90.63"/>
    <n v="9"/>
    <n v="40.783499999999997"/>
    <n v="856.45349999999996"/>
    <x v="68"/>
    <x v="311"/>
    <x v="1"/>
    <n v="815.67"/>
    <n v="4.7619047620000003"/>
    <x v="715"/>
    <n v="5.0999999999999996"/>
  </r>
  <r>
    <x v="722"/>
    <s v="B"/>
    <x v="2"/>
    <x v="1"/>
    <x v="1"/>
    <x v="2"/>
    <n v="44.12"/>
    <n v="3"/>
    <n v="6.6180000000000003"/>
    <n v="138.97800000000001"/>
    <x v="79"/>
    <x v="286"/>
    <x v="2"/>
    <n v="132.36000000000001"/>
    <n v="4.7619047620000003"/>
    <x v="716"/>
    <n v="7.9"/>
  </r>
  <r>
    <x v="723"/>
    <s v="C"/>
    <x v="1"/>
    <x v="0"/>
    <x v="0"/>
    <x v="4"/>
    <n v="36.770000000000003"/>
    <n v="7"/>
    <n v="12.8695"/>
    <n v="270.2595"/>
    <x v="83"/>
    <x v="435"/>
    <x v="1"/>
    <n v="257.39"/>
    <n v="4.7619047620000003"/>
    <x v="717"/>
    <n v="7.4"/>
  </r>
  <r>
    <x v="724"/>
    <s v="B"/>
    <x v="2"/>
    <x v="0"/>
    <x v="1"/>
    <x v="4"/>
    <n v="23.34"/>
    <n v="4"/>
    <n v="4.6680000000000001"/>
    <n v="98.028000000000006"/>
    <x v="87"/>
    <x v="387"/>
    <x v="0"/>
    <n v="93.36"/>
    <n v="4.7619047620000003"/>
    <x v="718"/>
    <n v="7.4"/>
  </r>
  <r>
    <x v="725"/>
    <s v="C"/>
    <x v="1"/>
    <x v="0"/>
    <x v="0"/>
    <x v="0"/>
    <n v="28.5"/>
    <n v="8"/>
    <n v="11.4"/>
    <n v="239.4"/>
    <x v="10"/>
    <x v="436"/>
    <x v="1"/>
    <n v="228"/>
    <n v="4.7619047620000003"/>
    <x v="719"/>
    <n v="6.6"/>
  </r>
  <r>
    <x v="726"/>
    <s v="C"/>
    <x v="1"/>
    <x v="0"/>
    <x v="1"/>
    <x v="2"/>
    <n v="55.57"/>
    <n v="3"/>
    <n v="8.3354999999999997"/>
    <n v="175.0455"/>
    <x v="66"/>
    <x v="437"/>
    <x v="2"/>
    <n v="166.71"/>
    <n v="4.7619047620000003"/>
    <x v="720"/>
    <n v="5.9"/>
  </r>
  <r>
    <x v="727"/>
    <s v="B"/>
    <x v="2"/>
    <x v="1"/>
    <x v="1"/>
    <x v="3"/>
    <n v="69.739999999999995"/>
    <n v="10"/>
    <n v="34.869999999999997"/>
    <n v="732.27"/>
    <x v="19"/>
    <x v="438"/>
    <x v="2"/>
    <n v="697.4"/>
    <n v="4.7619047620000003"/>
    <x v="721"/>
    <n v="8.9"/>
  </r>
  <r>
    <x v="728"/>
    <s v="C"/>
    <x v="1"/>
    <x v="1"/>
    <x v="1"/>
    <x v="5"/>
    <n v="97.26"/>
    <n v="4"/>
    <n v="19.452000000000002"/>
    <n v="408.49200000000002"/>
    <x v="32"/>
    <x v="439"/>
    <x v="0"/>
    <n v="389.04"/>
    <n v="4.7619047620000003"/>
    <x v="722"/>
    <n v="6.8"/>
  </r>
  <r>
    <x v="729"/>
    <s v="B"/>
    <x v="2"/>
    <x v="0"/>
    <x v="0"/>
    <x v="2"/>
    <n v="52.18"/>
    <n v="7"/>
    <n v="18.263000000000002"/>
    <n v="383.52300000000002"/>
    <x v="11"/>
    <x v="200"/>
    <x v="1"/>
    <n v="365.26"/>
    <n v="4.7619047620000003"/>
    <x v="723"/>
    <n v="9.3000000000000007"/>
  </r>
  <r>
    <x v="730"/>
    <s v="A"/>
    <x v="0"/>
    <x v="0"/>
    <x v="0"/>
    <x v="5"/>
    <n v="22.32"/>
    <n v="4"/>
    <n v="4.4640000000000004"/>
    <n v="93.744"/>
    <x v="59"/>
    <x v="293"/>
    <x v="2"/>
    <n v="89.28"/>
    <n v="4.7619047620000003"/>
    <x v="724"/>
    <n v="4.4000000000000004"/>
  </r>
  <r>
    <x v="731"/>
    <s v="A"/>
    <x v="0"/>
    <x v="1"/>
    <x v="1"/>
    <x v="0"/>
    <n v="56"/>
    <n v="3"/>
    <n v="8.4"/>
    <n v="176.4"/>
    <x v="38"/>
    <x v="295"/>
    <x v="0"/>
    <n v="168"/>
    <n v="4.7619047620000003"/>
    <x v="725"/>
    <n v="4.8"/>
  </r>
  <r>
    <x v="732"/>
    <s v="A"/>
    <x v="0"/>
    <x v="0"/>
    <x v="1"/>
    <x v="5"/>
    <n v="19.7"/>
    <n v="1"/>
    <n v="0.98499999999999999"/>
    <n v="20.684999999999999"/>
    <x v="4"/>
    <x v="411"/>
    <x v="0"/>
    <n v="19.7"/>
    <n v="4.7619047620000003"/>
    <x v="726"/>
    <n v="9.5"/>
  </r>
  <r>
    <x v="733"/>
    <s v="B"/>
    <x v="2"/>
    <x v="1"/>
    <x v="1"/>
    <x v="1"/>
    <n v="75.88"/>
    <n v="7"/>
    <n v="26.558"/>
    <n v="557.71799999999996"/>
    <x v="46"/>
    <x v="440"/>
    <x v="0"/>
    <n v="531.16"/>
    <n v="4.7619047620000003"/>
    <x v="727"/>
    <n v="8.9"/>
  </r>
  <r>
    <x v="734"/>
    <s v="B"/>
    <x v="2"/>
    <x v="0"/>
    <x v="1"/>
    <x v="4"/>
    <n v="53.72"/>
    <n v="1"/>
    <n v="2.6859999999999999"/>
    <n v="56.405999999999999"/>
    <x v="59"/>
    <x v="356"/>
    <x v="0"/>
    <n v="53.72"/>
    <n v="4.7619047620000003"/>
    <x v="728"/>
    <n v="6.4"/>
  </r>
  <r>
    <x v="735"/>
    <s v="C"/>
    <x v="1"/>
    <x v="0"/>
    <x v="1"/>
    <x v="0"/>
    <n v="81.95"/>
    <n v="10"/>
    <n v="40.975000000000001"/>
    <n v="860.47500000000002"/>
    <x v="24"/>
    <x v="441"/>
    <x v="2"/>
    <n v="819.5"/>
    <n v="4.7619047620000003"/>
    <x v="729"/>
    <n v="6"/>
  </r>
  <r>
    <x v="736"/>
    <s v="C"/>
    <x v="1"/>
    <x v="0"/>
    <x v="0"/>
    <x v="2"/>
    <n v="81.2"/>
    <n v="7"/>
    <n v="28.42"/>
    <n v="596.82000000000005"/>
    <x v="28"/>
    <x v="273"/>
    <x v="2"/>
    <n v="568.4"/>
    <n v="4.7619047620000003"/>
    <x v="730"/>
    <n v="8.1"/>
  </r>
  <r>
    <x v="737"/>
    <s v="C"/>
    <x v="1"/>
    <x v="1"/>
    <x v="1"/>
    <x v="1"/>
    <n v="58.76"/>
    <n v="10"/>
    <n v="29.38"/>
    <n v="616.98"/>
    <x v="71"/>
    <x v="442"/>
    <x v="0"/>
    <n v="587.6"/>
    <n v="4.7619047620000003"/>
    <x v="731"/>
    <n v="9"/>
  </r>
  <r>
    <x v="738"/>
    <s v="B"/>
    <x v="2"/>
    <x v="0"/>
    <x v="1"/>
    <x v="1"/>
    <n v="91.56"/>
    <n v="8"/>
    <n v="36.624000000000002"/>
    <n v="769.10400000000004"/>
    <x v="52"/>
    <x v="282"/>
    <x v="0"/>
    <n v="732.48"/>
    <n v="4.7619047620000003"/>
    <x v="732"/>
    <n v="6"/>
  </r>
  <r>
    <x v="739"/>
    <s v="A"/>
    <x v="0"/>
    <x v="1"/>
    <x v="1"/>
    <x v="2"/>
    <n v="93.96"/>
    <n v="9"/>
    <n v="42.281999999999996"/>
    <n v="887.92200000000003"/>
    <x v="80"/>
    <x v="102"/>
    <x v="1"/>
    <n v="845.64"/>
    <n v="4.7619047620000003"/>
    <x v="733"/>
    <n v="9.8000000000000007"/>
  </r>
  <r>
    <x v="740"/>
    <s v="C"/>
    <x v="1"/>
    <x v="1"/>
    <x v="1"/>
    <x v="2"/>
    <n v="55.61"/>
    <n v="7"/>
    <n v="19.4635"/>
    <n v="408.73349999999999"/>
    <x v="28"/>
    <x v="443"/>
    <x v="1"/>
    <n v="389.27"/>
    <n v="4.7619047620000003"/>
    <x v="734"/>
    <n v="8.5"/>
  </r>
  <r>
    <x v="741"/>
    <s v="C"/>
    <x v="1"/>
    <x v="1"/>
    <x v="1"/>
    <x v="4"/>
    <n v="84.83"/>
    <n v="1"/>
    <n v="4.2415000000000003"/>
    <n v="89.0715"/>
    <x v="78"/>
    <x v="444"/>
    <x v="0"/>
    <n v="84.83"/>
    <n v="4.7619047620000003"/>
    <x v="735"/>
    <n v="8.8000000000000007"/>
  </r>
  <r>
    <x v="742"/>
    <s v="A"/>
    <x v="0"/>
    <x v="0"/>
    <x v="0"/>
    <x v="3"/>
    <n v="71.63"/>
    <n v="2"/>
    <n v="7.1630000000000003"/>
    <n v="150.423"/>
    <x v="12"/>
    <x v="375"/>
    <x v="0"/>
    <n v="143.26"/>
    <n v="4.7619047620000003"/>
    <x v="736"/>
    <n v="8.8000000000000007"/>
  </r>
  <r>
    <x v="743"/>
    <s v="A"/>
    <x v="0"/>
    <x v="0"/>
    <x v="1"/>
    <x v="2"/>
    <n v="37.69"/>
    <n v="2"/>
    <n v="3.7690000000000001"/>
    <n v="79.149000000000001"/>
    <x v="9"/>
    <x v="406"/>
    <x v="0"/>
    <n v="75.38"/>
    <n v="4.7619047620000003"/>
    <x v="737"/>
    <n v="9.5"/>
  </r>
  <r>
    <x v="744"/>
    <s v="C"/>
    <x v="1"/>
    <x v="0"/>
    <x v="0"/>
    <x v="3"/>
    <n v="31.67"/>
    <n v="8"/>
    <n v="12.667999999999999"/>
    <n v="266.02800000000002"/>
    <x v="56"/>
    <x v="15"/>
    <x v="2"/>
    <n v="253.36"/>
    <n v="4.7619047620000003"/>
    <x v="738"/>
    <n v="5.6"/>
  </r>
  <r>
    <x v="745"/>
    <s v="C"/>
    <x v="1"/>
    <x v="0"/>
    <x v="0"/>
    <x v="4"/>
    <n v="38.42"/>
    <n v="1"/>
    <n v="1.921"/>
    <n v="40.341000000000001"/>
    <x v="30"/>
    <x v="445"/>
    <x v="1"/>
    <n v="38.42"/>
    <n v="4.7619047620000003"/>
    <x v="739"/>
    <n v="8.6"/>
  </r>
  <r>
    <x v="746"/>
    <s v="B"/>
    <x v="2"/>
    <x v="0"/>
    <x v="1"/>
    <x v="5"/>
    <n v="65.23"/>
    <n v="10"/>
    <n v="32.615000000000002"/>
    <n v="684.91499999999996"/>
    <x v="66"/>
    <x v="312"/>
    <x v="2"/>
    <n v="652.29999999999995"/>
    <n v="4.7619047620000003"/>
    <x v="740"/>
    <n v="5.2"/>
  </r>
  <r>
    <x v="747"/>
    <s v="C"/>
    <x v="1"/>
    <x v="0"/>
    <x v="0"/>
    <x v="2"/>
    <n v="10.53"/>
    <n v="5"/>
    <n v="2.6324999999999998"/>
    <n v="55.282499999999999"/>
    <x v="74"/>
    <x v="140"/>
    <x v="2"/>
    <n v="52.65"/>
    <n v="4.7619047620000003"/>
    <x v="741"/>
    <n v="5.8"/>
  </r>
  <r>
    <x v="748"/>
    <s v="B"/>
    <x v="2"/>
    <x v="0"/>
    <x v="0"/>
    <x v="2"/>
    <n v="12.29"/>
    <n v="9"/>
    <n v="5.5305"/>
    <n v="116.1405"/>
    <x v="58"/>
    <x v="198"/>
    <x v="2"/>
    <n v="110.61"/>
    <n v="4.7619047620000003"/>
    <x v="742"/>
    <n v="8"/>
  </r>
  <r>
    <x v="749"/>
    <s v="C"/>
    <x v="1"/>
    <x v="0"/>
    <x v="1"/>
    <x v="0"/>
    <n v="81.23"/>
    <n v="7"/>
    <n v="28.430499999999999"/>
    <n v="597.04049999999995"/>
    <x v="15"/>
    <x v="446"/>
    <x v="1"/>
    <n v="568.61"/>
    <n v="4.7619047620000003"/>
    <x v="743"/>
    <n v="9"/>
  </r>
  <r>
    <x v="750"/>
    <s v="B"/>
    <x v="2"/>
    <x v="0"/>
    <x v="0"/>
    <x v="5"/>
    <n v="22.32"/>
    <n v="4"/>
    <n v="4.4640000000000004"/>
    <n v="93.744"/>
    <x v="86"/>
    <x v="447"/>
    <x v="0"/>
    <n v="89.28"/>
    <n v="4.7619047620000003"/>
    <x v="724"/>
    <n v="4.0999999999999996"/>
  </r>
  <r>
    <x v="751"/>
    <s v="A"/>
    <x v="0"/>
    <x v="1"/>
    <x v="0"/>
    <x v="4"/>
    <n v="27.28"/>
    <n v="5"/>
    <n v="6.82"/>
    <n v="143.22"/>
    <x v="36"/>
    <x v="359"/>
    <x v="2"/>
    <n v="136.4"/>
    <n v="4.7619047620000003"/>
    <x v="744"/>
    <n v="8.6"/>
  </r>
  <r>
    <x v="752"/>
    <s v="A"/>
    <x v="0"/>
    <x v="0"/>
    <x v="0"/>
    <x v="1"/>
    <n v="17.420000000000002"/>
    <n v="10"/>
    <n v="8.7100000000000009"/>
    <n v="182.91"/>
    <x v="70"/>
    <x v="448"/>
    <x v="0"/>
    <n v="174.2"/>
    <n v="4.7619047620000003"/>
    <x v="745"/>
    <n v="7"/>
  </r>
  <r>
    <x v="753"/>
    <s v="B"/>
    <x v="2"/>
    <x v="1"/>
    <x v="1"/>
    <x v="2"/>
    <n v="73.28"/>
    <n v="5"/>
    <n v="18.32"/>
    <n v="384.72"/>
    <x v="46"/>
    <x v="184"/>
    <x v="0"/>
    <n v="366.4"/>
    <n v="4.7619047620000003"/>
    <x v="746"/>
    <n v="8.4"/>
  </r>
  <r>
    <x v="754"/>
    <s v="C"/>
    <x v="1"/>
    <x v="0"/>
    <x v="0"/>
    <x v="5"/>
    <n v="84.87"/>
    <n v="3"/>
    <n v="12.730499999999999"/>
    <n v="267.34050000000002"/>
    <x v="25"/>
    <x v="5"/>
    <x v="0"/>
    <n v="254.61"/>
    <n v="4.7619047620000003"/>
    <x v="747"/>
    <n v="7.4"/>
  </r>
  <r>
    <x v="755"/>
    <s v="A"/>
    <x v="0"/>
    <x v="1"/>
    <x v="0"/>
    <x v="5"/>
    <n v="97.29"/>
    <n v="8"/>
    <n v="38.915999999999997"/>
    <n v="817.23599999999999"/>
    <x v="11"/>
    <x v="118"/>
    <x v="2"/>
    <n v="778.32"/>
    <n v="4.7619047620000003"/>
    <x v="748"/>
    <n v="6.2"/>
  </r>
  <r>
    <x v="756"/>
    <s v="B"/>
    <x v="2"/>
    <x v="0"/>
    <x v="0"/>
    <x v="1"/>
    <n v="35.74"/>
    <n v="8"/>
    <n v="14.295999999999999"/>
    <n v="300.21600000000001"/>
    <x v="21"/>
    <x v="311"/>
    <x v="0"/>
    <n v="285.92"/>
    <n v="4.7619047620000003"/>
    <x v="749"/>
    <n v="4.9000000000000004"/>
  </r>
  <r>
    <x v="757"/>
    <s v="A"/>
    <x v="0"/>
    <x v="1"/>
    <x v="0"/>
    <x v="2"/>
    <n v="96.52"/>
    <n v="6"/>
    <n v="28.956"/>
    <n v="608.07600000000002"/>
    <x v="83"/>
    <x v="408"/>
    <x v="1"/>
    <n v="579.12"/>
    <n v="4.7619047620000003"/>
    <x v="750"/>
    <n v="4.5"/>
  </r>
  <r>
    <x v="758"/>
    <s v="A"/>
    <x v="0"/>
    <x v="0"/>
    <x v="1"/>
    <x v="4"/>
    <n v="18.850000000000001"/>
    <n v="10"/>
    <n v="9.4250000000000007"/>
    <n v="197.92500000000001"/>
    <x v="33"/>
    <x v="202"/>
    <x v="0"/>
    <n v="188.5"/>
    <n v="4.7619047620000003"/>
    <x v="751"/>
    <n v="5.6"/>
  </r>
  <r>
    <x v="759"/>
    <s v="A"/>
    <x v="0"/>
    <x v="1"/>
    <x v="0"/>
    <x v="4"/>
    <n v="55.39"/>
    <n v="4"/>
    <n v="11.077999999999999"/>
    <n v="232.63800000000001"/>
    <x v="5"/>
    <x v="332"/>
    <x v="0"/>
    <n v="221.56"/>
    <n v="4.7619047620000003"/>
    <x v="752"/>
    <n v="8"/>
  </r>
  <r>
    <x v="760"/>
    <s v="B"/>
    <x v="2"/>
    <x v="0"/>
    <x v="0"/>
    <x v="4"/>
    <n v="77.2"/>
    <n v="10"/>
    <n v="38.6"/>
    <n v="810.6"/>
    <x v="48"/>
    <x v="440"/>
    <x v="2"/>
    <n v="772"/>
    <n v="4.7619047620000003"/>
    <x v="753"/>
    <n v="5.6"/>
  </r>
  <r>
    <x v="761"/>
    <s v="B"/>
    <x v="2"/>
    <x v="1"/>
    <x v="1"/>
    <x v="1"/>
    <n v="72.13"/>
    <n v="10"/>
    <n v="36.064999999999998"/>
    <n v="757.36500000000001"/>
    <x v="82"/>
    <x v="290"/>
    <x v="2"/>
    <n v="721.3"/>
    <n v="4.7619047620000003"/>
    <x v="754"/>
    <n v="4.2"/>
  </r>
  <r>
    <x v="762"/>
    <s v="A"/>
    <x v="0"/>
    <x v="0"/>
    <x v="0"/>
    <x v="5"/>
    <n v="63.88"/>
    <n v="8"/>
    <n v="25.552"/>
    <n v="536.59199999999998"/>
    <x v="40"/>
    <x v="449"/>
    <x v="0"/>
    <n v="511.04"/>
    <n v="4.7619047620000003"/>
    <x v="755"/>
    <n v="9.9"/>
  </r>
  <r>
    <x v="763"/>
    <s v="A"/>
    <x v="0"/>
    <x v="0"/>
    <x v="0"/>
    <x v="0"/>
    <n v="10.69"/>
    <n v="5"/>
    <n v="2.6724999999999999"/>
    <n v="56.122500000000002"/>
    <x v="58"/>
    <x v="383"/>
    <x v="0"/>
    <n v="53.45"/>
    <n v="4.7619047620000003"/>
    <x v="756"/>
    <n v="7.6"/>
  </r>
  <r>
    <x v="764"/>
    <s v="A"/>
    <x v="0"/>
    <x v="0"/>
    <x v="1"/>
    <x v="0"/>
    <n v="55.5"/>
    <n v="4"/>
    <n v="11.1"/>
    <n v="233.1"/>
    <x v="40"/>
    <x v="74"/>
    <x v="2"/>
    <n v="222"/>
    <n v="4.7619047620000003"/>
    <x v="757"/>
    <n v="6.6"/>
  </r>
  <r>
    <x v="765"/>
    <s v="B"/>
    <x v="2"/>
    <x v="1"/>
    <x v="0"/>
    <x v="2"/>
    <n v="95.46"/>
    <n v="8"/>
    <n v="38.183999999999997"/>
    <n v="801.86400000000003"/>
    <x v="19"/>
    <x v="138"/>
    <x v="0"/>
    <n v="763.68"/>
    <n v="4.7619047620000003"/>
    <x v="758"/>
    <n v="4.7"/>
  </r>
  <r>
    <x v="766"/>
    <s v="C"/>
    <x v="1"/>
    <x v="1"/>
    <x v="0"/>
    <x v="5"/>
    <n v="76.06"/>
    <n v="3"/>
    <n v="11.409000000000001"/>
    <n v="239.589"/>
    <x v="0"/>
    <x v="450"/>
    <x v="2"/>
    <n v="228.18"/>
    <n v="4.7619047620000003"/>
    <x v="759"/>
    <n v="9.8000000000000007"/>
  </r>
  <r>
    <x v="767"/>
    <s v="B"/>
    <x v="2"/>
    <x v="1"/>
    <x v="1"/>
    <x v="3"/>
    <n v="13.69"/>
    <n v="6"/>
    <n v="4.1070000000000002"/>
    <n v="86.247"/>
    <x v="77"/>
    <x v="451"/>
    <x v="1"/>
    <n v="82.14"/>
    <n v="4.7619047620000003"/>
    <x v="760"/>
    <n v="6.3"/>
  </r>
  <r>
    <x v="768"/>
    <s v="B"/>
    <x v="2"/>
    <x v="1"/>
    <x v="0"/>
    <x v="1"/>
    <n v="95.64"/>
    <n v="4"/>
    <n v="19.128"/>
    <n v="401.68799999999999"/>
    <x v="32"/>
    <x v="370"/>
    <x v="1"/>
    <n v="382.56"/>
    <n v="4.7619047620000003"/>
    <x v="761"/>
    <n v="7.9"/>
  </r>
  <r>
    <x v="769"/>
    <s v="A"/>
    <x v="0"/>
    <x v="1"/>
    <x v="0"/>
    <x v="2"/>
    <n v="11.43"/>
    <n v="6"/>
    <n v="3.4289999999999998"/>
    <n v="72.009"/>
    <x v="15"/>
    <x v="45"/>
    <x v="1"/>
    <n v="68.58"/>
    <n v="4.7619047620000003"/>
    <x v="762"/>
    <n v="7.7"/>
  </r>
  <r>
    <x v="770"/>
    <s v="B"/>
    <x v="2"/>
    <x v="0"/>
    <x v="0"/>
    <x v="3"/>
    <n v="95.54"/>
    <n v="4"/>
    <n v="19.108000000000001"/>
    <n v="401.26799999999997"/>
    <x v="84"/>
    <x v="452"/>
    <x v="0"/>
    <n v="382.16"/>
    <n v="4.7619047620000003"/>
    <x v="763"/>
    <n v="4.5"/>
  </r>
  <r>
    <x v="771"/>
    <s v="C"/>
    <x v="1"/>
    <x v="0"/>
    <x v="0"/>
    <x v="0"/>
    <n v="85.87"/>
    <n v="7"/>
    <n v="30.054500000000001"/>
    <n v="631.14449999999999"/>
    <x v="33"/>
    <x v="54"/>
    <x v="2"/>
    <n v="601.09"/>
    <n v="4.7619047620000003"/>
    <x v="764"/>
    <n v="8"/>
  </r>
  <r>
    <x v="772"/>
    <s v="C"/>
    <x v="1"/>
    <x v="0"/>
    <x v="0"/>
    <x v="3"/>
    <n v="67.989999999999995"/>
    <n v="7"/>
    <n v="23.796500000000002"/>
    <n v="499.72649999999999"/>
    <x v="21"/>
    <x v="453"/>
    <x v="0"/>
    <n v="475.93"/>
    <n v="4.7619047620000003"/>
    <x v="765"/>
    <n v="5.7"/>
  </r>
  <r>
    <x v="773"/>
    <s v="C"/>
    <x v="1"/>
    <x v="1"/>
    <x v="0"/>
    <x v="4"/>
    <n v="52.42"/>
    <n v="1"/>
    <n v="2.621"/>
    <n v="55.040999999999997"/>
    <x v="10"/>
    <x v="417"/>
    <x v="2"/>
    <n v="52.42"/>
    <n v="4.7619047620000003"/>
    <x v="766"/>
    <n v="6.3"/>
  </r>
  <r>
    <x v="774"/>
    <s v="C"/>
    <x v="1"/>
    <x v="0"/>
    <x v="1"/>
    <x v="4"/>
    <n v="65.650000000000006"/>
    <n v="2"/>
    <n v="6.5650000000000004"/>
    <n v="137.86500000000001"/>
    <x v="29"/>
    <x v="252"/>
    <x v="1"/>
    <n v="131.30000000000001"/>
    <n v="4.7619047620000003"/>
    <x v="767"/>
    <n v="6"/>
  </r>
  <r>
    <x v="775"/>
    <s v="B"/>
    <x v="2"/>
    <x v="1"/>
    <x v="0"/>
    <x v="4"/>
    <n v="28.86"/>
    <n v="5"/>
    <n v="7.2149999999999999"/>
    <n v="151.51499999999999"/>
    <x v="49"/>
    <x v="182"/>
    <x v="2"/>
    <n v="144.30000000000001"/>
    <n v="4.7619047620000003"/>
    <x v="768"/>
    <n v="8"/>
  </r>
  <r>
    <x v="776"/>
    <s v="C"/>
    <x v="1"/>
    <x v="0"/>
    <x v="1"/>
    <x v="0"/>
    <n v="65.31"/>
    <n v="7"/>
    <n v="22.858499999999999"/>
    <n v="480.02850000000001"/>
    <x v="19"/>
    <x v="454"/>
    <x v="2"/>
    <n v="457.17"/>
    <n v="4.7619047620000003"/>
    <x v="769"/>
    <n v="4.2"/>
  </r>
  <r>
    <x v="777"/>
    <s v="B"/>
    <x v="2"/>
    <x v="1"/>
    <x v="1"/>
    <x v="3"/>
    <n v="93.38"/>
    <n v="1"/>
    <n v="4.6689999999999996"/>
    <n v="98.049000000000007"/>
    <x v="75"/>
    <x v="270"/>
    <x v="1"/>
    <n v="93.38"/>
    <n v="4.7619047620000003"/>
    <x v="770"/>
    <n v="9.6"/>
  </r>
  <r>
    <x v="778"/>
    <s v="C"/>
    <x v="1"/>
    <x v="0"/>
    <x v="1"/>
    <x v="3"/>
    <n v="25.25"/>
    <n v="5"/>
    <n v="6.3125"/>
    <n v="132.5625"/>
    <x v="80"/>
    <x v="455"/>
    <x v="1"/>
    <n v="126.25"/>
    <n v="4.7619047620000003"/>
    <x v="771"/>
    <n v="6.1"/>
  </r>
  <r>
    <x v="779"/>
    <s v="B"/>
    <x v="2"/>
    <x v="0"/>
    <x v="1"/>
    <x v="1"/>
    <n v="87.87"/>
    <n v="9"/>
    <n v="39.541499999999999"/>
    <n v="830.37149999999997"/>
    <x v="82"/>
    <x v="456"/>
    <x v="0"/>
    <n v="790.83"/>
    <n v="4.7619047620000003"/>
    <x v="772"/>
    <n v="5.6"/>
  </r>
  <r>
    <x v="780"/>
    <s v="C"/>
    <x v="1"/>
    <x v="1"/>
    <x v="1"/>
    <x v="0"/>
    <n v="21.8"/>
    <n v="8"/>
    <n v="8.7200000000000006"/>
    <n v="183.12"/>
    <x v="88"/>
    <x v="225"/>
    <x v="1"/>
    <n v="174.4"/>
    <n v="4.7619047620000003"/>
    <x v="773"/>
    <n v="8.3000000000000007"/>
  </r>
  <r>
    <x v="781"/>
    <s v="A"/>
    <x v="0"/>
    <x v="1"/>
    <x v="0"/>
    <x v="3"/>
    <n v="94.76"/>
    <n v="4"/>
    <n v="18.952000000000002"/>
    <n v="397.99200000000002"/>
    <x v="48"/>
    <x v="432"/>
    <x v="0"/>
    <n v="379.04"/>
    <n v="4.7619047620000003"/>
    <x v="774"/>
    <n v="7.8"/>
  </r>
  <r>
    <x v="782"/>
    <s v="A"/>
    <x v="0"/>
    <x v="0"/>
    <x v="0"/>
    <x v="5"/>
    <n v="30.62"/>
    <n v="1"/>
    <n v="1.5309999999999999"/>
    <n v="32.151000000000003"/>
    <x v="63"/>
    <x v="341"/>
    <x v="2"/>
    <n v="30.62"/>
    <n v="4.7619047620000003"/>
    <x v="775"/>
    <n v="4.0999999999999996"/>
  </r>
  <r>
    <x v="783"/>
    <s v="C"/>
    <x v="1"/>
    <x v="1"/>
    <x v="0"/>
    <x v="2"/>
    <n v="44.01"/>
    <n v="8"/>
    <n v="17.603999999999999"/>
    <n v="369.68400000000003"/>
    <x v="2"/>
    <x v="24"/>
    <x v="1"/>
    <n v="352.08"/>
    <n v="4.7619047620000003"/>
    <x v="776"/>
    <n v="8.8000000000000007"/>
  </r>
  <r>
    <x v="784"/>
    <s v="C"/>
    <x v="1"/>
    <x v="0"/>
    <x v="0"/>
    <x v="0"/>
    <n v="10.16"/>
    <n v="5"/>
    <n v="2.54"/>
    <n v="53.34"/>
    <x v="7"/>
    <x v="0"/>
    <x v="0"/>
    <n v="50.8"/>
    <n v="4.7619047620000003"/>
    <x v="777"/>
    <n v="4.0999999999999996"/>
  </r>
  <r>
    <x v="785"/>
    <s v="A"/>
    <x v="0"/>
    <x v="1"/>
    <x v="1"/>
    <x v="1"/>
    <n v="74.58"/>
    <n v="7"/>
    <n v="26.103000000000002"/>
    <n v="548.16300000000001"/>
    <x v="87"/>
    <x v="457"/>
    <x v="2"/>
    <n v="522.05999999999995"/>
    <n v="4.7619047620000003"/>
    <x v="778"/>
    <n v="9"/>
  </r>
  <r>
    <x v="786"/>
    <s v="C"/>
    <x v="1"/>
    <x v="1"/>
    <x v="1"/>
    <x v="1"/>
    <n v="71.89"/>
    <n v="8"/>
    <n v="28.756"/>
    <n v="603.87599999999998"/>
    <x v="88"/>
    <x v="458"/>
    <x v="0"/>
    <n v="575.12"/>
    <n v="4.7619047620000003"/>
    <x v="779"/>
    <n v="5.5"/>
  </r>
  <r>
    <x v="787"/>
    <s v="C"/>
    <x v="1"/>
    <x v="1"/>
    <x v="0"/>
    <x v="0"/>
    <n v="10.99"/>
    <n v="5"/>
    <n v="2.7475000000000001"/>
    <n v="57.697499999999998"/>
    <x v="54"/>
    <x v="392"/>
    <x v="2"/>
    <n v="54.95"/>
    <n v="4.7619047620000003"/>
    <x v="780"/>
    <n v="9.3000000000000007"/>
  </r>
  <r>
    <x v="788"/>
    <s v="C"/>
    <x v="1"/>
    <x v="0"/>
    <x v="1"/>
    <x v="0"/>
    <n v="60.47"/>
    <n v="3"/>
    <n v="9.0704999999999991"/>
    <n v="190.48050000000001"/>
    <x v="78"/>
    <x v="60"/>
    <x v="2"/>
    <n v="181.41"/>
    <n v="4.7619047620000003"/>
    <x v="781"/>
    <n v="5.6"/>
  </r>
  <r>
    <x v="789"/>
    <s v="A"/>
    <x v="0"/>
    <x v="1"/>
    <x v="1"/>
    <x v="3"/>
    <n v="58.91"/>
    <n v="7"/>
    <n v="20.618500000000001"/>
    <n v="432.98849999999999"/>
    <x v="29"/>
    <x v="459"/>
    <x v="0"/>
    <n v="412.37"/>
    <n v="4.7619047620000003"/>
    <x v="782"/>
    <n v="9.6999999999999993"/>
  </r>
  <r>
    <x v="790"/>
    <s v="A"/>
    <x v="0"/>
    <x v="1"/>
    <x v="1"/>
    <x v="5"/>
    <n v="46.41"/>
    <n v="1"/>
    <n v="2.3205"/>
    <n v="48.730499999999999"/>
    <x v="2"/>
    <x v="460"/>
    <x v="2"/>
    <n v="46.41"/>
    <n v="4.7619047620000003"/>
    <x v="783"/>
    <n v="4"/>
  </r>
  <r>
    <x v="791"/>
    <s v="C"/>
    <x v="1"/>
    <x v="0"/>
    <x v="1"/>
    <x v="0"/>
    <n v="68.55"/>
    <n v="4"/>
    <n v="13.71"/>
    <n v="287.91000000000003"/>
    <x v="42"/>
    <x v="277"/>
    <x v="2"/>
    <n v="274.2"/>
    <n v="4.7619047620000003"/>
    <x v="784"/>
    <n v="9.1999999999999993"/>
  </r>
  <r>
    <x v="792"/>
    <s v="B"/>
    <x v="2"/>
    <x v="1"/>
    <x v="0"/>
    <x v="2"/>
    <n v="97.37"/>
    <n v="10"/>
    <n v="48.685000000000002"/>
    <n v="1022.385"/>
    <x v="15"/>
    <x v="128"/>
    <x v="2"/>
    <n v="973.7"/>
    <n v="4.7619047620000003"/>
    <x v="785"/>
    <n v="4.9000000000000004"/>
  </r>
  <r>
    <x v="793"/>
    <s v="A"/>
    <x v="0"/>
    <x v="0"/>
    <x v="1"/>
    <x v="1"/>
    <n v="92.6"/>
    <n v="7"/>
    <n v="32.409999999999997"/>
    <n v="680.61"/>
    <x v="33"/>
    <x v="299"/>
    <x v="2"/>
    <n v="648.20000000000005"/>
    <n v="4.7619047620000003"/>
    <x v="786"/>
    <n v="9.3000000000000007"/>
  </r>
  <r>
    <x v="794"/>
    <s v="A"/>
    <x v="0"/>
    <x v="1"/>
    <x v="0"/>
    <x v="1"/>
    <n v="46.61"/>
    <n v="2"/>
    <n v="4.6609999999999996"/>
    <n v="97.881"/>
    <x v="84"/>
    <x v="35"/>
    <x v="2"/>
    <n v="93.22"/>
    <n v="4.7619047620000003"/>
    <x v="787"/>
    <n v="6.6"/>
  </r>
  <r>
    <x v="795"/>
    <s v="B"/>
    <x v="2"/>
    <x v="1"/>
    <x v="1"/>
    <x v="5"/>
    <n v="27.18"/>
    <n v="2"/>
    <n v="2.718"/>
    <n v="57.078000000000003"/>
    <x v="20"/>
    <x v="461"/>
    <x v="0"/>
    <n v="54.36"/>
    <n v="4.7619047620000003"/>
    <x v="788"/>
    <n v="4.3"/>
  </r>
  <r>
    <x v="796"/>
    <s v="C"/>
    <x v="1"/>
    <x v="0"/>
    <x v="0"/>
    <x v="2"/>
    <n v="60.87"/>
    <n v="1"/>
    <n v="3.0434999999999999"/>
    <n v="63.913499999999999"/>
    <x v="46"/>
    <x v="38"/>
    <x v="1"/>
    <n v="60.87"/>
    <n v="4.7619047620000003"/>
    <x v="789"/>
    <n v="5.5"/>
  </r>
  <r>
    <x v="797"/>
    <s v="A"/>
    <x v="0"/>
    <x v="0"/>
    <x v="0"/>
    <x v="3"/>
    <n v="24.49"/>
    <n v="10"/>
    <n v="12.244999999999999"/>
    <n v="257.14499999999998"/>
    <x v="70"/>
    <x v="459"/>
    <x v="1"/>
    <n v="244.9"/>
    <n v="4.7619047620000003"/>
    <x v="790"/>
    <n v="8.1"/>
  </r>
  <r>
    <x v="798"/>
    <s v="B"/>
    <x v="2"/>
    <x v="1"/>
    <x v="1"/>
    <x v="0"/>
    <n v="92.78"/>
    <n v="1"/>
    <n v="4.6390000000000002"/>
    <n v="97.418999999999997"/>
    <x v="20"/>
    <x v="155"/>
    <x v="2"/>
    <n v="92.78"/>
    <n v="4.7619047620000003"/>
    <x v="791"/>
    <n v="9.8000000000000007"/>
  </r>
  <r>
    <x v="799"/>
    <s v="C"/>
    <x v="1"/>
    <x v="0"/>
    <x v="1"/>
    <x v="2"/>
    <n v="86.69"/>
    <n v="5"/>
    <n v="21.672499999999999"/>
    <n v="455.1225"/>
    <x v="48"/>
    <x v="462"/>
    <x v="0"/>
    <n v="433.45"/>
    <n v="4.7619047620000003"/>
    <x v="792"/>
    <n v="9.4"/>
  </r>
  <r>
    <x v="800"/>
    <s v="B"/>
    <x v="2"/>
    <x v="1"/>
    <x v="1"/>
    <x v="3"/>
    <n v="23.01"/>
    <n v="6"/>
    <n v="6.9029999999999996"/>
    <n v="144.96299999999999"/>
    <x v="52"/>
    <x v="463"/>
    <x v="0"/>
    <n v="138.06"/>
    <n v="4.7619047620000003"/>
    <x v="793"/>
    <n v="7.9"/>
  </r>
  <r>
    <x v="801"/>
    <s v="C"/>
    <x v="1"/>
    <x v="0"/>
    <x v="0"/>
    <x v="1"/>
    <n v="30.2"/>
    <n v="8"/>
    <n v="12.08"/>
    <n v="253.68"/>
    <x v="2"/>
    <x v="171"/>
    <x v="0"/>
    <n v="241.6"/>
    <n v="4.7619047620000003"/>
    <x v="794"/>
    <n v="5.0999999999999996"/>
  </r>
  <r>
    <x v="802"/>
    <s v="C"/>
    <x v="1"/>
    <x v="0"/>
    <x v="1"/>
    <x v="5"/>
    <n v="67.39"/>
    <n v="7"/>
    <n v="23.586500000000001"/>
    <n v="495.31650000000002"/>
    <x v="28"/>
    <x v="2"/>
    <x v="0"/>
    <n v="471.73"/>
    <n v="4.7619047620000003"/>
    <x v="795"/>
    <n v="6.9"/>
  </r>
  <r>
    <x v="803"/>
    <s v="A"/>
    <x v="0"/>
    <x v="0"/>
    <x v="0"/>
    <x v="5"/>
    <n v="48.96"/>
    <n v="9"/>
    <n v="22.032"/>
    <n v="462.67200000000003"/>
    <x v="31"/>
    <x v="94"/>
    <x v="1"/>
    <n v="440.64"/>
    <n v="4.7619047620000003"/>
    <x v="796"/>
    <n v="8"/>
  </r>
  <r>
    <x v="804"/>
    <s v="B"/>
    <x v="2"/>
    <x v="0"/>
    <x v="0"/>
    <x v="1"/>
    <n v="75.59"/>
    <n v="9"/>
    <n v="34.015500000000003"/>
    <n v="714.32550000000003"/>
    <x v="55"/>
    <x v="289"/>
    <x v="1"/>
    <n v="680.31"/>
    <n v="4.7619047620000003"/>
    <x v="797"/>
    <n v="8"/>
  </r>
  <r>
    <x v="805"/>
    <s v="A"/>
    <x v="0"/>
    <x v="1"/>
    <x v="0"/>
    <x v="2"/>
    <n v="77.47"/>
    <n v="4"/>
    <n v="15.494"/>
    <n v="325.37400000000002"/>
    <x v="85"/>
    <x v="345"/>
    <x v="1"/>
    <n v="309.88"/>
    <n v="4.7619047620000003"/>
    <x v="798"/>
    <n v="4.2"/>
  </r>
  <r>
    <x v="806"/>
    <s v="A"/>
    <x v="0"/>
    <x v="1"/>
    <x v="0"/>
    <x v="3"/>
    <n v="93.18"/>
    <n v="2"/>
    <n v="9.3179999999999996"/>
    <n v="195.678"/>
    <x v="65"/>
    <x v="464"/>
    <x v="2"/>
    <n v="186.36"/>
    <n v="4.7619047620000003"/>
    <x v="799"/>
    <n v="8.5"/>
  </r>
  <r>
    <x v="807"/>
    <s v="A"/>
    <x v="0"/>
    <x v="1"/>
    <x v="0"/>
    <x v="1"/>
    <n v="50.23"/>
    <n v="4"/>
    <n v="10.045999999999999"/>
    <n v="210.96600000000001"/>
    <x v="66"/>
    <x v="465"/>
    <x v="1"/>
    <n v="200.92"/>
    <n v="4.7619047620000003"/>
    <x v="800"/>
    <n v="9"/>
  </r>
  <r>
    <x v="808"/>
    <s v="B"/>
    <x v="2"/>
    <x v="1"/>
    <x v="0"/>
    <x v="0"/>
    <n v="17.75"/>
    <n v="1"/>
    <n v="0.88749999999999996"/>
    <n v="18.637499999999999"/>
    <x v="78"/>
    <x v="440"/>
    <x v="1"/>
    <n v="17.75"/>
    <n v="4.7619047620000003"/>
    <x v="801"/>
    <n v="8.6"/>
  </r>
  <r>
    <x v="809"/>
    <s v="C"/>
    <x v="1"/>
    <x v="1"/>
    <x v="0"/>
    <x v="5"/>
    <n v="62.18"/>
    <n v="10"/>
    <n v="31.09"/>
    <n v="652.89"/>
    <x v="82"/>
    <x v="373"/>
    <x v="0"/>
    <n v="621.79999999999995"/>
    <n v="4.7619047620000003"/>
    <x v="802"/>
    <n v="6"/>
  </r>
  <r>
    <x v="810"/>
    <s v="B"/>
    <x v="2"/>
    <x v="1"/>
    <x v="1"/>
    <x v="0"/>
    <n v="10.75"/>
    <n v="8"/>
    <n v="4.3"/>
    <n v="90.3"/>
    <x v="20"/>
    <x v="242"/>
    <x v="0"/>
    <n v="86"/>
    <n v="4.7619047620000003"/>
    <x v="803"/>
    <n v="6.2"/>
  </r>
  <r>
    <x v="811"/>
    <s v="A"/>
    <x v="0"/>
    <x v="1"/>
    <x v="0"/>
    <x v="1"/>
    <n v="40.26"/>
    <n v="10"/>
    <n v="20.13"/>
    <n v="422.73"/>
    <x v="7"/>
    <x v="191"/>
    <x v="2"/>
    <n v="402.6"/>
    <n v="4.7619047620000003"/>
    <x v="804"/>
    <n v="5"/>
  </r>
  <r>
    <x v="812"/>
    <s v="C"/>
    <x v="1"/>
    <x v="0"/>
    <x v="0"/>
    <x v="3"/>
    <n v="64.97"/>
    <n v="5"/>
    <n v="16.2425"/>
    <n v="341.09249999999997"/>
    <x v="4"/>
    <x v="299"/>
    <x v="2"/>
    <n v="324.85000000000002"/>
    <n v="4.7619047620000003"/>
    <x v="805"/>
    <n v="6.5"/>
  </r>
  <r>
    <x v="813"/>
    <s v="A"/>
    <x v="0"/>
    <x v="1"/>
    <x v="1"/>
    <x v="1"/>
    <n v="95.15"/>
    <n v="1"/>
    <n v="4.7575000000000003"/>
    <n v="99.907499999999999"/>
    <x v="23"/>
    <x v="466"/>
    <x v="1"/>
    <n v="95.15"/>
    <n v="4.7619047620000003"/>
    <x v="806"/>
    <n v="6"/>
  </r>
  <r>
    <x v="814"/>
    <s v="A"/>
    <x v="0"/>
    <x v="0"/>
    <x v="0"/>
    <x v="1"/>
    <n v="48.62"/>
    <n v="8"/>
    <n v="19.448"/>
    <n v="408.40800000000002"/>
    <x v="46"/>
    <x v="315"/>
    <x v="1"/>
    <n v="388.96"/>
    <n v="4.7619047620000003"/>
    <x v="807"/>
    <n v="5"/>
  </r>
  <r>
    <x v="815"/>
    <s v="B"/>
    <x v="2"/>
    <x v="1"/>
    <x v="0"/>
    <x v="4"/>
    <n v="53.21"/>
    <n v="8"/>
    <n v="21.283999999999999"/>
    <n v="446.964"/>
    <x v="86"/>
    <x v="463"/>
    <x v="0"/>
    <n v="425.68"/>
    <n v="4.7619047620000003"/>
    <x v="808"/>
    <n v="5"/>
  </r>
  <r>
    <x v="816"/>
    <s v="C"/>
    <x v="1"/>
    <x v="1"/>
    <x v="0"/>
    <x v="5"/>
    <n v="45.44"/>
    <n v="7"/>
    <n v="15.904"/>
    <n v="333.98399999999998"/>
    <x v="54"/>
    <x v="23"/>
    <x v="1"/>
    <n v="318.08"/>
    <n v="4.7619047620000003"/>
    <x v="809"/>
    <n v="9.1999999999999993"/>
  </r>
  <r>
    <x v="817"/>
    <s v="A"/>
    <x v="0"/>
    <x v="1"/>
    <x v="1"/>
    <x v="4"/>
    <n v="33.880000000000003"/>
    <n v="8"/>
    <n v="13.552"/>
    <n v="284.59199999999998"/>
    <x v="64"/>
    <x v="245"/>
    <x v="0"/>
    <n v="271.04000000000002"/>
    <n v="4.7619047620000003"/>
    <x v="810"/>
    <n v="9.6"/>
  </r>
  <r>
    <x v="818"/>
    <s v="B"/>
    <x v="2"/>
    <x v="0"/>
    <x v="1"/>
    <x v="0"/>
    <n v="96.16"/>
    <n v="4"/>
    <n v="19.231999999999999"/>
    <n v="403.87200000000001"/>
    <x v="3"/>
    <x v="356"/>
    <x v="2"/>
    <n v="384.64"/>
    <n v="4.7619047620000003"/>
    <x v="811"/>
    <n v="8.4"/>
  </r>
  <r>
    <x v="819"/>
    <s v="B"/>
    <x v="2"/>
    <x v="0"/>
    <x v="1"/>
    <x v="4"/>
    <n v="47.16"/>
    <n v="5"/>
    <n v="11.79"/>
    <n v="247.59"/>
    <x v="36"/>
    <x v="63"/>
    <x v="2"/>
    <n v="235.8"/>
    <n v="4.7619047620000003"/>
    <x v="812"/>
    <n v="6"/>
  </r>
  <r>
    <x v="820"/>
    <s v="B"/>
    <x v="2"/>
    <x v="1"/>
    <x v="1"/>
    <x v="1"/>
    <n v="52.89"/>
    <n v="4"/>
    <n v="10.577999999999999"/>
    <n v="222.13800000000001"/>
    <x v="5"/>
    <x v="467"/>
    <x v="0"/>
    <n v="211.56"/>
    <n v="4.7619047620000003"/>
    <x v="813"/>
    <n v="6.7"/>
  </r>
  <r>
    <x v="821"/>
    <s v="A"/>
    <x v="0"/>
    <x v="0"/>
    <x v="0"/>
    <x v="2"/>
    <n v="47.68"/>
    <n v="2"/>
    <n v="4.7679999999999998"/>
    <n v="100.128"/>
    <x v="7"/>
    <x v="468"/>
    <x v="2"/>
    <n v="95.36"/>
    <n v="4.7619047620000003"/>
    <x v="814"/>
    <n v="4.0999999999999996"/>
  </r>
  <r>
    <x v="822"/>
    <s v="C"/>
    <x v="1"/>
    <x v="0"/>
    <x v="1"/>
    <x v="3"/>
    <n v="10.17"/>
    <n v="1"/>
    <n v="0.50849999999999995"/>
    <n v="10.6785"/>
    <x v="13"/>
    <x v="331"/>
    <x v="1"/>
    <n v="10.17"/>
    <n v="4.7619047620000003"/>
    <x v="815"/>
    <n v="5.9"/>
  </r>
  <r>
    <x v="823"/>
    <s v="A"/>
    <x v="0"/>
    <x v="1"/>
    <x v="0"/>
    <x v="0"/>
    <n v="68.709999999999994"/>
    <n v="3"/>
    <n v="10.3065"/>
    <n v="216.4365"/>
    <x v="31"/>
    <x v="469"/>
    <x v="1"/>
    <n v="206.13"/>
    <n v="4.7619047620000003"/>
    <x v="816"/>
    <n v="8.6999999999999993"/>
  </r>
  <r>
    <x v="824"/>
    <s v="B"/>
    <x v="2"/>
    <x v="0"/>
    <x v="0"/>
    <x v="3"/>
    <n v="60.08"/>
    <n v="7"/>
    <n v="21.027999999999999"/>
    <n v="441.58800000000002"/>
    <x v="44"/>
    <x v="150"/>
    <x v="2"/>
    <n v="420.56"/>
    <n v="4.7619047620000003"/>
    <x v="817"/>
    <n v="4.5"/>
  </r>
  <r>
    <x v="825"/>
    <s v="A"/>
    <x v="0"/>
    <x v="0"/>
    <x v="0"/>
    <x v="3"/>
    <n v="22.01"/>
    <n v="4"/>
    <n v="4.4020000000000001"/>
    <n v="92.441999999999993"/>
    <x v="71"/>
    <x v="470"/>
    <x v="2"/>
    <n v="88.04"/>
    <n v="4.7619047620000003"/>
    <x v="818"/>
    <n v="6.6"/>
  </r>
  <r>
    <x v="826"/>
    <s v="B"/>
    <x v="2"/>
    <x v="0"/>
    <x v="0"/>
    <x v="0"/>
    <n v="72.11"/>
    <n v="9"/>
    <n v="32.4495"/>
    <n v="681.43949999999995"/>
    <x v="26"/>
    <x v="318"/>
    <x v="2"/>
    <n v="648.99"/>
    <n v="4.7619047620000003"/>
    <x v="819"/>
    <n v="7.7"/>
  </r>
  <r>
    <x v="827"/>
    <s v="A"/>
    <x v="0"/>
    <x v="0"/>
    <x v="1"/>
    <x v="5"/>
    <n v="41.28"/>
    <n v="3"/>
    <n v="6.1920000000000002"/>
    <n v="130.03200000000001"/>
    <x v="58"/>
    <x v="78"/>
    <x v="2"/>
    <n v="123.84"/>
    <n v="4.7619047620000003"/>
    <x v="820"/>
    <n v="8.5"/>
  </r>
  <r>
    <x v="828"/>
    <s v="C"/>
    <x v="1"/>
    <x v="1"/>
    <x v="1"/>
    <x v="1"/>
    <n v="64.95"/>
    <n v="10"/>
    <n v="32.475000000000001"/>
    <n v="681.97500000000002"/>
    <x v="62"/>
    <x v="185"/>
    <x v="1"/>
    <n v="649.5"/>
    <n v="4.7619047620000003"/>
    <x v="821"/>
    <n v="5.2"/>
  </r>
  <r>
    <x v="829"/>
    <s v="A"/>
    <x v="0"/>
    <x v="0"/>
    <x v="0"/>
    <x v="1"/>
    <n v="74.22"/>
    <n v="10"/>
    <n v="37.11"/>
    <n v="779.31"/>
    <x v="17"/>
    <x v="51"/>
    <x v="2"/>
    <n v="742.2"/>
    <n v="4.7619047620000003"/>
    <x v="822"/>
    <n v="4.3"/>
  </r>
  <r>
    <x v="830"/>
    <s v="A"/>
    <x v="0"/>
    <x v="1"/>
    <x v="1"/>
    <x v="1"/>
    <n v="10.56"/>
    <n v="8"/>
    <n v="4.2240000000000002"/>
    <n v="88.703999999999994"/>
    <x v="46"/>
    <x v="255"/>
    <x v="1"/>
    <n v="84.48"/>
    <n v="4.7619047620000003"/>
    <x v="823"/>
    <n v="7.6"/>
  </r>
  <r>
    <x v="831"/>
    <s v="B"/>
    <x v="2"/>
    <x v="1"/>
    <x v="1"/>
    <x v="0"/>
    <n v="62.57"/>
    <n v="4"/>
    <n v="12.513999999999999"/>
    <n v="262.79399999999998"/>
    <x v="6"/>
    <x v="78"/>
    <x v="1"/>
    <n v="250.28"/>
    <n v="4.7619047620000003"/>
    <x v="824"/>
    <n v="9.5"/>
  </r>
  <r>
    <x v="832"/>
    <s v="B"/>
    <x v="2"/>
    <x v="0"/>
    <x v="0"/>
    <x v="3"/>
    <n v="11.85"/>
    <n v="8"/>
    <n v="4.74"/>
    <n v="99.54"/>
    <x v="51"/>
    <x v="414"/>
    <x v="1"/>
    <n v="94.8"/>
    <n v="4.7619047620000003"/>
    <x v="825"/>
    <n v="4.0999999999999996"/>
  </r>
  <r>
    <x v="833"/>
    <s v="A"/>
    <x v="0"/>
    <x v="0"/>
    <x v="1"/>
    <x v="0"/>
    <n v="91.3"/>
    <n v="1"/>
    <n v="4.5650000000000004"/>
    <n v="95.864999999999995"/>
    <x v="44"/>
    <x v="51"/>
    <x v="0"/>
    <n v="91.3"/>
    <n v="4.7619047620000003"/>
    <x v="826"/>
    <n v="9.1999999999999993"/>
  </r>
  <r>
    <x v="834"/>
    <s v="B"/>
    <x v="2"/>
    <x v="0"/>
    <x v="0"/>
    <x v="2"/>
    <n v="40.729999999999997"/>
    <n v="7"/>
    <n v="14.2555"/>
    <n v="299.3655"/>
    <x v="41"/>
    <x v="471"/>
    <x v="0"/>
    <n v="285.11"/>
    <n v="4.7619047620000003"/>
    <x v="827"/>
    <n v="5.4"/>
  </r>
  <r>
    <x v="835"/>
    <s v="A"/>
    <x v="0"/>
    <x v="1"/>
    <x v="1"/>
    <x v="5"/>
    <n v="52.38"/>
    <n v="1"/>
    <n v="2.6190000000000002"/>
    <n v="54.999000000000002"/>
    <x v="58"/>
    <x v="143"/>
    <x v="1"/>
    <n v="52.38"/>
    <n v="4.7619047620000003"/>
    <x v="828"/>
    <n v="5.8"/>
  </r>
  <r>
    <x v="836"/>
    <s v="A"/>
    <x v="0"/>
    <x v="0"/>
    <x v="1"/>
    <x v="5"/>
    <n v="38.54"/>
    <n v="5"/>
    <n v="9.6349999999999998"/>
    <n v="202.33500000000001"/>
    <x v="51"/>
    <x v="229"/>
    <x v="0"/>
    <n v="192.7"/>
    <n v="4.7619047620000003"/>
    <x v="829"/>
    <n v="5.6"/>
  </r>
  <r>
    <x v="837"/>
    <s v="B"/>
    <x v="2"/>
    <x v="1"/>
    <x v="1"/>
    <x v="3"/>
    <n v="44.63"/>
    <n v="6"/>
    <n v="13.388999999999999"/>
    <n v="281.16899999999998"/>
    <x v="56"/>
    <x v="390"/>
    <x v="2"/>
    <n v="267.77999999999997"/>
    <n v="4.7619047620000003"/>
    <x v="830"/>
    <n v="5.0999999999999996"/>
  </r>
  <r>
    <x v="838"/>
    <s v="C"/>
    <x v="1"/>
    <x v="1"/>
    <x v="1"/>
    <x v="1"/>
    <n v="55.87"/>
    <n v="10"/>
    <n v="27.934999999999999"/>
    <n v="586.63499999999999"/>
    <x v="15"/>
    <x v="66"/>
    <x v="1"/>
    <n v="558.70000000000005"/>
    <n v="4.7619047620000003"/>
    <x v="831"/>
    <n v="5.8"/>
  </r>
  <r>
    <x v="839"/>
    <s v="C"/>
    <x v="1"/>
    <x v="0"/>
    <x v="0"/>
    <x v="3"/>
    <n v="29.22"/>
    <n v="6"/>
    <n v="8.766"/>
    <n v="184.08600000000001"/>
    <x v="17"/>
    <x v="335"/>
    <x v="0"/>
    <n v="175.32"/>
    <n v="4.7619047620000003"/>
    <x v="832"/>
    <n v="5"/>
  </r>
  <r>
    <x v="840"/>
    <s v="A"/>
    <x v="0"/>
    <x v="1"/>
    <x v="1"/>
    <x v="5"/>
    <n v="51.94"/>
    <n v="3"/>
    <n v="7.7910000000000004"/>
    <n v="163.61099999999999"/>
    <x v="42"/>
    <x v="472"/>
    <x v="1"/>
    <n v="155.82"/>
    <n v="4.7619047620000003"/>
    <x v="833"/>
    <n v="7.9"/>
  </r>
  <r>
    <x v="841"/>
    <s v="B"/>
    <x v="2"/>
    <x v="1"/>
    <x v="1"/>
    <x v="1"/>
    <n v="60.3"/>
    <n v="1"/>
    <n v="3.0150000000000001"/>
    <n v="63.314999999999998"/>
    <x v="38"/>
    <x v="180"/>
    <x v="1"/>
    <n v="60.3"/>
    <n v="4.7619047620000003"/>
    <x v="834"/>
    <n v="6"/>
  </r>
  <r>
    <x v="842"/>
    <s v="A"/>
    <x v="0"/>
    <x v="0"/>
    <x v="0"/>
    <x v="3"/>
    <n v="39.47"/>
    <n v="2"/>
    <n v="3.9470000000000001"/>
    <n v="82.887"/>
    <x v="22"/>
    <x v="473"/>
    <x v="2"/>
    <n v="78.94"/>
    <n v="4.7619047620000003"/>
    <x v="835"/>
    <n v="5"/>
  </r>
  <r>
    <x v="843"/>
    <s v="C"/>
    <x v="1"/>
    <x v="0"/>
    <x v="0"/>
    <x v="4"/>
    <n v="14.87"/>
    <n v="2"/>
    <n v="1.4870000000000001"/>
    <n v="31.227"/>
    <x v="77"/>
    <x v="470"/>
    <x v="2"/>
    <n v="29.74"/>
    <n v="4.7619047620000003"/>
    <x v="836"/>
    <n v="8.9"/>
  </r>
  <r>
    <x v="844"/>
    <s v="A"/>
    <x v="0"/>
    <x v="1"/>
    <x v="1"/>
    <x v="5"/>
    <n v="21.32"/>
    <n v="1"/>
    <n v="1.0660000000000001"/>
    <n v="22.385999999999999"/>
    <x v="53"/>
    <x v="31"/>
    <x v="1"/>
    <n v="21.32"/>
    <n v="4.7619047620000003"/>
    <x v="837"/>
    <n v="5.9"/>
  </r>
  <r>
    <x v="845"/>
    <s v="A"/>
    <x v="0"/>
    <x v="0"/>
    <x v="1"/>
    <x v="1"/>
    <n v="93.78"/>
    <n v="3"/>
    <n v="14.067"/>
    <n v="295.40699999999998"/>
    <x v="74"/>
    <x v="102"/>
    <x v="2"/>
    <n v="281.33999999999997"/>
    <n v="4.7619047620000003"/>
    <x v="838"/>
    <n v="5.9"/>
  </r>
  <r>
    <x v="846"/>
    <s v="A"/>
    <x v="0"/>
    <x v="0"/>
    <x v="1"/>
    <x v="1"/>
    <n v="73.260000000000005"/>
    <n v="1"/>
    <n v="3.6629999999999998"/>
    <n v="76.923000000000002"/>
    <x v="3"/>
    <x v="182"/>
    <x v="0"/>
    <n v="73.260000000000005"/>
    <n v="4.7619047620000003"/>
    <x v="839"/>
    <n v="9.6999999999999993"/>
  </r>
  <r>
    <x v="847"/>
    <s v="C"/>
    <x v="1"/>
    <x v="1"/>
    <x v="0"/>
    <x v="3"/>
    <n v="22.38"/>
    <n v="1"/>
    <n v="1.119"/>
    <n v="23.498999999999999"/>
    <x v="74"/>
    <x v="48"/>
    <x v="2"/>
    <n v="22.38"/>
    <n v="4.7619047620000003"/>
    <x v="840"/>
    <n v="8.6"/>
  </r>
  <r>
    <x v="848"/>
    <s v="C"/>
    <x v="1"/>
    <x v="0"/>
    <x v="0"/>
    <x v="4"/>
    <n v="72.88"/>
    <n v="9"/>
    <n v="32.795999999999999"/>
    <n v="688.71600000000001"/>
    <x v="66"/>
    <x v="371"/>
    <x v="1"/>
    <n v="655.92"/>
    <n v="4.7619047620000003"/>
    <x v="841"/>
    <n v="4"/>
  </r>
  <r>
    <x v="849"/>
    <s v="A"/>
    <x v="0"/>
    <x v="1"/>
    <x v="0"/>
    <x v="5"/>
    <n v="99.1"/>
    <n v="6"/>
    <n v="29.73"/>
    <n v="624.33000000000004"/>
    <x v="64"/>
    <x v="90"/>
    <x v="1"/>
    <n v="594.6"/>
    <n v="4.7619047620000003"/>
    <x v="842"/>
    <n v="4.2"/>
  </r>
  <r>
    <x v="850"/>
    <s v="A"/>
    <x v="0"/>
    <x v="1"/>
    <x v="1"/>
    <x v="5"/>
    <n v="74.099999999999994"/>
    <n v="1"/>
    <n v="3.7050000000000001"/>
    <n v="77.805000000000007"/>
    <x v="25"/>
    <x v="474"/>
    <x v="1"/>
    <n v="74.099999999999994"/>
    <n v="4.7619047620000003"/>
    <x v="843"/>
    <n v="9.1999999999999993"/>
  </r>
  <r>
    <x v="851"/>
    <s v="A"/>
    <x v="0"/>
    <x v="1"/>
    <x v="0"/>
    <x v="5"/>
    <n v="98.48"/>
    <n v="2"/>
    <n v="9.8480000000000008"/>
    <n v="206.80799999999999"/>
    <x v="88"/>
    <x v="33"/>
    <x v="0"/>
    <n v="196.96"/>
    <n v="4.7619047620000003"/>
    <x v="844"/>
    <n v="9.1999999999999993"/>
  </r>
  <r>
    <x v="852"/>
    <s v="C"/>
    <x v="1"/>
    <x v="1"/>
    <x v="1"/>
    <x v="0"/>
    <n v="53.19"/>
    <n v="7"/>
    <n v="18.616499999999998"/>
    <n v="390.94650000000001"/>
    <x v="78"/>
    <x v="324"/>
    <x v="0"/>
    <n v="372.33"/>
    <n v="4.7619047620000003"/>
    <x v="845"/>
    <n v="5"/>
  </r>
  <r>
    <x v="853"/>
    <s v="B"/>
    <x v="2"/>
    <x v="1"/>
    <x v="0"/>
    <x v="1"/>
    <n v="52.79"/>
    <n v="10"/>
    <n v="26.395"/>
    <n v="554.29499999999996"/>
    <x v="6"/>
    <x v="452"/>
    <x v="0"/>
    <n v="527.9"/>
    <n v="4.7619047620000003"/>
    <x v="846"/>
    <n v="10"/>
  </r>
  <r>
    <x v="854"/>
    <s v="A"/>
    <x v="0"/>
    <x v="0"/>
    <x v="0"/>
    <x v="0"/>
    <n v="95.95"/>
    <n v="5"/>
    <n v="23.987500000000001"/>
    <n v="503.73750000000001"/>
    <x v="54"/>
    <x v="239"/>
    <x v="0"/>
    <n v="479.75"/>
    <n v="4.7619047620000003"/>
    <x v="847"/>
    <n v="8.8000000000000007"/>
  </r>
  <r>
    <x v="855"/>
    <s v="B"/>
    <x v="2"/>
    <x v="1"/>
    <x v="0"/>
    <x v="5"/>
    <n v="36.51"/>
    <n v="9"/>
    <n v="16.429500000000001"/>
    <n v="345.01949999999999"/>
    <x v="69"/>
    <x v="196"/>
    <x v="1"/>
    <n v="328.59"/>
    <n v="4.7619047620000003"/>
    <x v="848"/>
    <n v="4.2"/>
  </r>
  <r>
    <x v="856"/>
    <s v="B"/>
    <x v="2"/>
    <x v="1"/>
    <x v="1"/>
    <x v="4"/>
    <n v="21.12"/>
    <n v="8"/>
    <n v="8.4480000000000004"/>
    <n v="177.40799999999999"/>
    <x v="17"/>
    <x v="475"/>
    <x v="1"/>
    <n v="168.96"/>
    <n v="4.7619047620000003"/>
    <x v="849"/>
    <n v="6.3"/>
  </r>
  <r>
    <x v="857"/>
    <s v="A"/>
    <x v="0"/>
    <x v="0"/>
    <x v="0"/>
    <x v="2"/>
    <n v="28.31"/>
    <n v="4"/>
    <n v="5.6619999999999999"/>
    <n v="118.902"/>
    <x v="37"/>
    <x v="476"/>
    <x v="1"/>
    <n v="113.24"/>
    <n v="4.7619047620000003"/>
    <x v="850"/>
    <n v="8.1999999999999993"/>
  </r>
  <r>
    <x v="858"/>
    <s v="B"/>
    <x v="2"/>
    <x v="1"/>
    <x v="1"/>
    <x v="0"/>
    <n v="57.59"/>
    <n v="6"/>
    <n v="17.277000000000001"/>
    <n v="362.81700000000001"/>
    <x v="42"/>
    <x v="477"/>
    <x v="1"/>
    <n v="345.54"/>
    <n v="4.7619047620000003"/>
    <x v="851"/>
    <n v="5.0999999999999996"/>
  </r>
  <r>
    <x v="859"/>
    <s v="A"/>
    <x v="0"/>
    <x v="0"/>
    <x v="0"/>
    <x v="4"/>
    <n v="47.63"/>
    <n v="9"/>
    <n v="21.433499999999999"/>
    <n v="450.1035"/>
    <x v="54"/>
    <x v="478"/>
    <x v="1"/>
    <n v="428.67"/>
    <n v="4.7619047620000003"/>
    <x v="852"/>
    <n v="5"/>
  </r>
  <r>
    <x v="860"/>
    <s v="C"/>
    <x v="1"/>
    <x v="0"/>
    <x v="0"/>
    <x v="2"/>
    <n v="86.27"/>
    <n v="1"/>
    <n v="4.3135000000000003"/>
    <n v="90.583500000000001"/>
    <x v="9"/>
    <x v="38"/>
    <x v="0"/>
    <n v="86.27"/>
    <n v="4.7619047620000003"/>
    <x v="853"/>
    <n v="7"/>
  </r>
  <r>
    <x v="861"/>
    <s v="A"/>
    <x v="0"/>
    <x v="0"/>
    <x v="1"/>
    <x v="3"/>
    <n v="12.76"/>
    <n v="2"/>
    <n v="1.276"/>
    <n v="26.795999999999999"/>
    <x v="66"/>
    <x v="191"/>
    <x v="0"/>
    <n v="25.52"/>
    <n v="4.7619047620000003"/>
    <x v="854"/>
    <n v="7.8"/>
  </r>
  <r>
    <x v="862"/>
    <s v="B"/>
    <x v="2"/>
    <x v="1"/>
    <x v="0"/>
    <x v="2"/>
    <n v="11.28"/>
    <n v="9"/>
    <n v="5.0759999999999996"/>
    <n v="106.596"/>
    <x v="85"/>
    <x v="479"/>
    <x v="2"/>
    <n v="101.52"/>
    <n v="4.7619047620000003"/>
    <x v="855"/>
    <n v="4.3"/>
  </r>
  <r>
    <x v="863"/>
    <s v="B"/>
    <x v="2"/>
    <x v="1"/>
    <x v="0"/>
    <x v="2"/>
    <n v="51.07"/>
    <n v="7"/>
    <n v="17.874500000000001"/>
    <n v="375.36450000000002"/>
    <x v="52"/>
    <x v="437"/>
    <x v="1"/>
    <n v="357.49"/>
    <n v="4.7619047620000003"/>
    <x v="856"/>
    <n v="7"/>
  </r>
  <r>
    <x v="864"/>
    <s v="A"/>
    <x v="0"/>
    <x v="0"/>
    <x v="0"/>
    <x v="1"/>
    <n v="79.59"/>
    <n v="3"/>
    <n v="11.938499999999999"/>
    <n v="250.70849999999999"/>
    <x v="66"/>
    <x v="101"/>
    <x v="1"/>
    <n v="238.77"/>
    <n v="4.7619047620000003"/>
    <x v="857"/>
    <n v="6.6"/>
  </r>
  <r>
    <x v="865"/>
    <s v="C"/>
    <x v="1"/>
    <x v="0"/>
    <x v="1"/>
    <x v="0"/>
    <n v="33.81"/>
    <n v="3"/>
    <n v="5.0715000000000003"/>
    <n v="106.50149999999999"/>
    <x v="53"/>
    <x v="480"/>
    <x v="0"/>
    <n v="101.43"/>
    <n v="4.7619047620000003"/>
    <x v="858"/>
    <n v="7.3"/>
  </r>
  <r>
    <x v="866"/>
    <s v="B"/>
    <x v="2"/>
    <x v="0"/>
    <x v="1"/>
    <x v="3"/>
    <n v="90.53"/>
    <n v="8"/>
    <n v="36.212000000000003"/>
    <n v="760.452"/>
    <x v="20"/>
    <x v="481"/>
    <x v="2"/>
    <n v="724.24"/>
    <n v="4.7619047620000003"/>
    <x v="859"/>
    <n v="6.5"/>
  </r>
  <r>
    <x v="867"/>
    <s v="C"/>
    <x v="1"/>
    <x v="0"/>
    <x v="0"/>
    <x v="0"/>
    <n v="62.82"/>
    <n v="2"/>
    <n v="6.282"/>
    <n v="131.922"/>
    <x v="29"/>
    <x v="482"/>
    <x v="0"/>
    <n v="125.64"/>
    <n v="4.7619047620000003"/>
    <x v="860"/>
    <n v="4.9000000000000004"/>
  </r>
  <r>
    <x v="868"/>
    <s v="C"/>
    <x v="1"/>
    <x v="0"/>
    <x v="1"/>
    <x v="4"/>
    <n v="24.31"/>
    <n v="3"/>
    <n v="3.6465000000000001"/>
    <n v="76.576499999999996"/>
    <x v="66"/>
    <x v="268"/>
    <x v="2"/>
    <n v="72.930000000000007"/>
    <n v="4.7619047620000003"/>
    <x v="861"/>
    <n v="4.3"/>
  </r>
  <r>
    <x v="869"/>
    <s v="A"/>
    <x v="0"/>
    <x v="1"/>
    <x v="1"/>
    <x v="3"/>
    <n v="64.59"/>
    <n v="4"/>
    <n v="12.917999999999999"/>
    <n v="271.27800000000002"/>
    <x v="47"/>
    <x v="483"/>
    <x v="0"/>
    <n v="258.36"/>
    <n v="4.7619047620000003"/>
    <x v="862"/>
    <n v="9.3000000000000007"/>
  </r>
  <r>
    <x v="870"/>
    <s v="A"/>
    <x v="0"/>
    <x v="0"/>
    <x v="1"/>
    <x v="4"/>
    <n v="24.82"/>
    <n v="7"/>
    <n v="8.6869999999999994"/>
    <n v="182.42699999999999"/>
    <x v="69"/>
    <x v="373"/>
    <x v="2"/>
    <n v="173.74"/>
    <n v="4.7619047620000003"/>
    <x v="863"/>
    <n v="7.1"/>
  </r>
  <r>
    <x v="871"/>
    <s v="C"/>
    <x v="1"/>
    <x v="1"/>
    <x v="1"/>
    <x v="5"/>
    <n v="56.5"/>
    <n v="1"/>
    <n v="2.8250000000000002"/>
    <n v="59.325000000000003"/>
    <x v="45"/>
    <x v="484"/>
    <x v="0"/>
    <n v="56.5"/>
    <n v="4.7619047620000003"/>
    <x v="864"/>
    <n v="9.6"/>
  </r>
  <r>
    <x v="872"/>
    <s v="B"/>
    <x v="2"/>
    <x v="0"/>
    <x v="0"/>
    <x v="1"/>
    <n v="21.43"/>
    <n v="10"/>
    <n v="10.715"/>
    <n v="225.01499999999999"/>
    <x v="26"/>
    <x v="159"/>
    <x v="1"/>
    <n v="214.3"/>
    <n v="4.7619047620000003"/>
    <x v="865"/>
    <n v="6.2"/>
  </r>
  <r>
    <x v="873"/>
    <s v="A"/>
    <x v="0"/>
    <x v="0"/>
    <x v="1"/>
    <x v="3"/>
    <n v="89.06"/>
    <n v="6"/>
    <n v="26.718"/>
    <n v="561.07799999999997"/>
    <x v="68"/>
    <x v="111"/>
    <x v="1"/>
    <n v="534.36"/>
    <n v="4.7619047620000003"/>
    <x v="866"/>
    <n v="9.9"/>
  </r>
  <r>
    <x v="874"/>
    <s v="A"/>
    <x v="0"/>
    <x v="0"/>
    <x v="1"/>
    <x v="2"/>
    <n v="23.29"/>
    <n v="4"/>
    <n v="4.6580000000000004"/>
    <n v="97.817999999999998"/>
    <x v="35"/>
    <x v="408"/>
    <x v="2"/>
    <n v="93.16"/>
    <n v="4.7619047620000003"/>
    <x v="867"/>
    <n v="5.9"/>
  </r>
  <r>
    <x v="875"/>
    <s v="C"/>
    <x v="1"/>
    <x v="1"/>
    <x v="1"/>
    <x v="2"/>
    <n v="65.260000000000005"/>
    <n v="8"/>
    <n v="26.103999999999999"/>
    <n v="548.18399999999997"/>
    <x v="20"/>
    <x v="214"/>
    <x v="0"/>
    <n v="522.08000000000004"/>
    <n v="4.7619047620000003"/>
    <x v="868"/>
    <n v="6.3"/>
  </r>
  <r>
    <x v="876"/>
    <s v="C"/>
    <x v="1"/>
    <x v="0"/>
    <x v="1"/>
    <x v="5"/>
    <n v="52.35"/>
    <n v="1"/>
    <n v="2.6175000000000002"/>
    <n v="54.967500000000001"/>
    <x v="12"/>
    <x v="438"/>
    <x v="1"/>
    <n v="52.35"/>
    <n v="4.7619047620000003"/>
    <x v="869"/>
    <n v="4"/>
  </r>
  <r>
    <x v="877"/>
    <s v="B"/>
    <x v="2"/>
    <x v="0"/>
    <x v="1"/>
    <x v="1"/>
    <n v="39.75"/>
    <n v="1"/>
    <n v="1.9875"/>
    <n v="41.737499999999997"/>
    <x v="6"/>
    <x v="99"/>
    <x v="1"/>
    <n v="39.75"/>
    <n v="4.7619047620000003"/>
    <x v="870"/>
    <n v="6.1"/>
  </r>
  <r>
    <x v="878"/>
    <s v="A"/>
    <x v="0"/>
    <x v="1"/>
    <x v="0"/>
    <x v="1"/>
    <n v="90.02"/>
    <n v="8"/>
    <n v="36.008000000000003"/>
    <n v="756.16800000000001"/>
    <x v="76"/>
    <x v="394"/>
    <x v="2"/>
    <n v="720.16"/>
    <n v="4.7619047620000003"/>
    <x v="871"/>
    <n v="4.5"/>
  </r>
  <r>
    <x v="879"/>
    <s v="B"/>
    <x v="2"/>
    <x v="0"/>
    <x v="0"/>
    <x v="1"/>
    <n v="12.1"/>
    <n v="8"/>
    <n v="4.84"/>
    <n v="101.64"/>
    <x v="64"/>
    <x v="79"/>
    <x v="0"/>
    <n v="96.8"/>
    <n v="4.7619047620000003"/>
    <x v="872"/>
    <n v="8.6"/>
  </r>
  <r>
    <x v="880"/>
    <s v="B"/>
    <x v="2"/>
    <x v="0"/>
    <x v="0"/>
    <x v="4"/>
    <n v="33.21"/>
    <n v="10"/>
    <n v="16.605"/>
    <n v="348.70499999999998"/>
    <x v="66"/>
    <x v="485"/>
    <x v="0"/>
    <n v="332.1"/>
    <n v="4.7619047620000003"/>
    <x v="873"/>
    <n v="6"/>
  </r>
  <r>
    <x v="881"/>
    <s v="C"/>
    <x v="1"/>
    <x v="0"/>
    <x v="0"/>
    <x v="5"/>
    <n v="10.18"/>
    <n v="8"/>
    <n v="4.0720000000000001"/>
    <n v="85.512"/>
    <x v="73"/>
    <x v="423"/>
    <x v="2"/>
    <n v="81.44"/>
    <n v="4.7619047620000003"/>
    <x v="874"/>
    <n v="9.5"/>
  </r>
  <r>
    <x v="882"/>
    <s v="B"/>
    <x v="2"/>
    <x v="0"/>
    <x v="1"/>
    <x v="3"/>
    <n v="31.99"/>
    <n v="10"/>
    <n v="15.994999999999999"/>
    <n v="335.89499999999998"/>
    <x v="9"/>
    <x v="486"/>
    <x v="2"/>
    <n v="319.89999999999998"/>
    <n v="4.7619047620000003"/>
    <x v="875"/>
    <n v="9.9"/>
  </r>
  <r>
    <x v="883"/>
    <s v="A"/>
    <x v="0"/>
    <x v="0"/>
    <x v="0"/>
    <x v="2"/>
    <n v="34.42"/>
    <n v="6"/>
    <n v="10.326000000000001"/>
    <n v="216.846"/>
    <x v="73"/>
    <x v="47"/>
    <x v="0"/>
    <n v="206.52"/>
    <n v="4.7619047620000003"/>
    <x v="136"/>
    <n v="7.5"/>
  </r>
  <r>
    <x v="884"/>
    <s v="A"/>
    <x v="0"/>
    <x v="0"/>
    <x v="0"/>
    <x v="4"/>
    <n v="83.34"/>
    <n v="2"/>
    <n v="8.3339999999999996"/>
    <n v="175.01400000000001"/>
    <x v="35"/>
    <x v="303"/>
    <x v="1"/>
    <n v="166.68"/>
    <n v="4.7619047620000003"/>
    <x v="876"/>
    <n v="7.6"/>
  </r>
  <r>
    <x v="885"/>
    <s v="A"/>
    <x v="0"/>
    <x v="1"/>
    <x v="1"/>
    <x v="3"/>
    <n v="45.58"/>
    <n v="7"/>
    <n v="15.952999999999999"/>
    <n v="335.01299999999998"/>
    <x v="50"/>
    <x v="487"/>
    <x v="1"/>
    <n v="319.06"/>
    <n v="4.7619047620000003"/>
    <x v="877"/>
    <n v="5"/>
  </r>
  <r>
    <x v="886"/>
    <s v="A"/>
    <x v="0"/>
    <x v="0"/>
    <x v="1"/>
    <x v="4"/>
    <n v="87.9"/>
    <n v="1"/>
    <n v="4.3949999999999996"/>
    <n v="92.295000000000002"/>
    <x v="63"/>
    <x v="144"/>
    <x v="0"/>
    <n v="87.9"/>
    <n v="4.7619047620000003"/>
    <x v="878"/>
    <n v="6.7"/>
  </r>
  <r>
    <x v="887"/>
    <s v="A"/>
    <x v="0"/>
    <x v="0"/>
    <x v="0"/>
    <x v="1"/>
    <n v="73.47"/>
    <n v="10"/>
    <n v="36.734999999999999"/>
    <n v="771.43499999999995"/>
    <x v="28"/>
    <x v="488"/>
    <x v="0"/>
    <n v="734.7"/>
    <n v="4.7619047620000003"/>
    <x v="879"/>
    <n v="9.5"/>
  </r>
  <r>
    <x v="888"/>
    <s v="C"/>
    <x v="1"/>
    <x v="1"/>
    <x v="0"/>
    <x v="5"/>
    <n v="12.19"/>
    <n v="8"/>
    <n v="4.8760000000000003"/>
    <n v="102.396"/>
    <x v="45"/>
    <x v="433"/>
    <x v="0"/>
    <n v="97.52"/>
    <n v="4.7619047620000003"/>
    <x v="880"/>
    <n v="6.8"/>
  </r>
  <r>
    <x v="889"/>
    <s v="A"/>
    <x v="0"/>
    <x v="0"/>
    <x v="1"/>
    <x v="3"/>
    <n v="76.92"/>
    <n v="10"/>
    <n v="38.46"/>
    <n v="807.66"/>
    <x v="85"/>
    <x v="267"/>
    <x v="0"/>
    <n v="769.2"/>
    <n v="4.7619047620000003"/>
    <x v="881"/>
    <n v="5.6"/>
  </r>
  <r>
    <x v="890"/>
    <s v="C"/>
    <x v="1"/>
    <x v="1"/>
    <x v="0"/>
    <x v="0"/>
    <n v="83.66"/>
    <n v="5"/>
    <n v="20.914999999999999"/>
    <n v="439.21499999999997"/>
    <x v="81"/>
    <x v="306"/>
    <x v="1"/>
    <n v="418.3"/>
    <n v="4.7619047620000003"/>
    <x v="882"/>
    <n v="7.2"/>
  </r>
  <r>
    <x v="891"/>
    <s v="B"/>
    <x v="2"/>
    <x v="1"/>
    <x v="0"/>
    <x v="1"/>
    <n v="57.91"/>
    <n v="8"/>
    <n v="23.164000000000001"/>
    <n v="486.44400000000002"/>
    <x v="13"/>
    <x v="379"/>
    <x v="1"/>
    <n v="463.28"/>
    <n v="4.7619047620000003"/>
    <x v="883"/>
    <n v="8.1"/>
  </r>
  <r>
    <x v="892"/>
    <s v="C"/>
    <x v="1"/>
    <x v="0"/>
    <x v="0"/>
    <x v="5"/>
    <n v="92.49"/>
    <n v="5"/>
    <n v="23.122499999999999"/>
    <n v="485.57249999999999"/>
    <x v="22"/>
    <x v="489"/>
    <x v="2"/>
    <n v="462.45"/>
    <n v="4.7619047620000003"/>
    <x v="884"/>
    <n v="8.6"/>
  </r>
  <r>
    <x v="893"/>
    <s v="B"/>
    <x v="2"/>
    <x v="1"/>
    <x v="1"/>
    <x v="1"/>
    <n v="28.38"/>
    <n v="5"/>
    <n v="7.0949999999999998"/>
    <n v="148.995"/>
    <x v="43"/>
    <x v="490"/>
    <x v="1"/>
    <n v="141.9"/>
    <n v="4.7619047620000003"/>
    <x v="885"/>
    <n v="9.4"/>
  </r>
  <r>
    <x v="894"/>
    <s v="B"/>
    <x v="2"/>
    <x v="0"/>
    <x v="1"/>
    <x v="1"/>
    <n v="50.45"/>
    <n v="6"/>
    <n v="15.135"/>
    <n v="317.83499999999998"/>
    <x v="10"/>
    <x v="204"/>
    <x v="2"/>
    <n v="302.7"/>
    <n v="4.7619047620000003"/>
    <x v="886"/>
    <n v="8.9"/>
  </r>
  <r>
    <x v="895"/>
    <s v="B"/>
    <x v="2"/>
    <x v="1"/>
    <x v="1"/>
    <x v="0"/>
    <n v="99.16"/>
    <n v="8"/>
    <n v="39.664000000000001"/>
    <n v="832.94399999999996"/>
    <x v="26"/>
    <x v="59"/>
    <x v="2"/>
    <n v="793.28"/>
    <n v="4.7619047620000003"/>
    <x v="887"/>
    <n v="4.2"/>
  </r>
  <r>
    <x v="896"/>
    <s v="C"/>
    <x v="1"/>
    <x v="1"/>
    <x v="1"/>
    <x v="5"/>
    <n v="60.74"/>
    <n v="7"/>
    <n v="21.259"/>
    <n v="446.43900000000002"/>
    <x v="68"/>
    <x v="293"/>
    <x v="0"/>
    <n v="425.18"/>
    <n v="4.7619047620000003"/>
    <x v="888"/>
    <n v="5"/>
  </r>
  <r>
    <x v="897"/>
    <s v="C"/>
    <x v="1"/>
    <x v="0"/>
    <x v="0"/>
    <x v="4"/>
    <n v="47.27"/>
    <n v="6"/>
    <n v="14.180999999999999"/>
    <n v="297.80099999999999"/>
    <x v="63"/>
    <x v="79"/>
    <x v="1"/>
    <n v="283.62"/>
    <n v="4.7619047620000003"/>
    <x v="889"/>
    <n v="8.8000000000000007"/>
  </r>
  <r>
    <x v="898"/>
    <s v="C"/>
    <x v="1"/>
    <x v="0"/>
    <x v="1"/>
    <x v="0"/>
    <n v="85.6"/>
    <n v="7"/>
    <n v="29.96"/>
    <n v="629.16"/>
    <x v="22"/>
    <x v="491"/>
    <x v="1"/>
    <n v="599.20000000000005"/>
    <n v="4.7619047620000003"/>
    <x v="890"/>
    <n v="5.3"/>
  </r>
  <r>
    <x v="899"/>
    <s v="A"/>
    <x v="0"/>
    <x v="0"/>
    <x v="1"/>
    <x v="4"/>
    <n v="35.04"/>
    <n v="9"/>
    <n v="15.768000000000001"/>
    <n v="331.12799999999999"/>
    <x v="57"/>
    <x v="151"/>
    <x v="0"/>
    <n v="315.36"/>
    <n v="4.7619047620000003"/>
    <x v="891"/>
    <n v="4.5999999999999996"/>
  </r>
  <r>
    <x v="900"/>
    <s v="C"/>
    <x v="1"/>
    <x v="0"/>
    <x v="0"/>
    <x v="1"/>
    <n v="44.84"/>
    <n v="9"/>
    <n v="20.178000000000001"/>
    <n v="423.738"/>
    <x v="78"/>
    <x v="466"/>
    <x v="2"/>
    <n v="403.56"/>
    <n v="4.7619047620000003"/>
    <x v="892"/>
    <n v="7.5"/>
  </r>
  <r>
    <x v="901"/>
    <s v="B"/>
    <x v="2"/>
    <x v="1"/>
    <x v="1"/>
    <x v="2"/>
    <n v="45.97"/>
    <n v="4"/>
    <n v="9.1940000000000008"/>
    <n v="193.07400000000001"/>
    <x v="57"/>
    <x v="110"/>
    <x v="0"/>
    <n v="183.88"/>
    <n v="4.7619047620000003"/>
    <x v="893"/>
    <n v="5.0999999999999996"/>
  </r>
  <r>
    <x v="902"/>
    <s v="A"/>
    <x v="0"/>
    <x v="0"/>
    <x v="0"/>
    <x v="0"/>
    <n v="27.73"/>
    <n v="5"/>
    <n v="6.9325000000000001"/>
    <n v="145.58250000000001"/>
    <x v="58"/>
    <x v="277"/>
    <x v="2"/>
    <n v="138.65"/>
    <n v="4.7619047620000003"/>
    <x v="894"/>
    <n v="4.2"/>
  </r>
  <r>
    <x v="903"/>
    <s v="A"/>
    <x v="0"/>
    <x v="1"/>
    <x v="1"/>
    <x v="4"/>
    <n v="11.53"/>
    <n v="7"/>
    <n v="4.0354999999999999"/>
    <n v="84.745500000000007"/>
    <x v="26"/>
    <x v="492"/>
    <x v="1"/>
    <n v="80.709999999999994"/>
    <n v="4.7619047620000003"/>
    <x v="895"/>
    <n v="8.1"/>
  </r>
  <r>
    <x v="904"/>
    <s v="C"/>
    <x v="1"/>
    <x v="1"/>
    <x v="0"/>
    <x v="0"/>
    <n v="58.32"/>
    <n v="2"/>
    <n v="5.8319999999999999"/>
    <n v="122.47199999999999"/>
    <x v="44"/>
    <x v="179"/>
    <x v="0"/>
    <n v="116.64"/>
    <n v="4.7619047620000003"/>
    <x v="896"/>
    <n v="6"/>
  </r>
  <r>
    <x v="905"/>
    <s v="C"/>
    <x v="1"/>
    <x v="0"/>
    <x v="0"/>
    <x v="2"/>
    <n v="78.38"/>
    <n v="4"/>
    <n v="15.676"/>
    <n v="329.19600000000003"/>
    <x v="62"/>
    <x v="493"/>
    <x v="1"/>
    <n v="313.52"/>
    <n v="4.7619047620000003"/>
    <x v="897"/>
    <n v="7.9"/>
  </r>
  <r>
    <x v="906"/>
    <s v="C"/>
    <x v="1"/>
    <x v="1"/>
    <x v="1"/>
    <x v="0"/>
    <n v="84.61"/>
    <n v="10"/>
    <n v="42.305"/>
    <n v="888.40499999999997"/>
    <x v="57"/>
    <x v="262"/>
    <x v="2"/>
    <n v="846.1"/>
    <n v="4.7619047620000003"/>
    <x v="898"/>
    <n v="8.8000000000000007"/>
  </r>
  <r>
    <x v="907"/>
    <s v="B"/>
    <x v="2"/>
    <x v="1"/>
    <x v="0"/>
    <x v="0"/>
    <n v="82.88"/>
    <n v="5"/>
    <n v="20.72"/>
    <n v="435.12"/>
    <x v="62"/>
    <x v="402"/>
    <x v="2"/>
    <n v="414.4"/>
    <n v="4.7619047620000003"/>
    <x v="899"/>
    <n v="6.6"/>
  </r>
  <r>
    <x v="908"/>
    <s v="A"/>
    <x v="0"/>
    <x v="0"/>
    <x v="0"/>
    <x v="4"/>
    <n v="79.540000000000006"/>
    <n v="2"/>
    <n v="7.9539999999999997"/>
    <n v="167.03399999999999"/>
    <x v="39"/>
    <x v="269"/>
    <x v="0"/>
    <n v="159.08000000000001"/>
    <n v="4.7619047620000003"/>
    <x v="900"/>
    <n v="6.2"/>
  </r>
  <r>
    <x v="909"/>
    <s v="B"/>
    <x v="2"/>
    <x v="1"/>
    <x v="0"/>
    <x v="2"/>
    <n v="49.01"/>
    <n v="10"/>
    <n v="24.504999999999999"/>
    <n v="514.60500000000002"/>
    <x v="3"/>
    <x v="494"/>
    <x v="2"/>
    <n v="490.1"/>
    <n v="4.7619047620000003"/>
    <x v="901"/>
    <n v="4.2"/>
  </r>
  <r>
    <x v="910"/>
    <s v="B"/>
    <x v="2"/>
    <x v="0"/>
    <x v="0"/>
    <x v="4"/>
    <n v="29.15"/>
    <n v="3"/>
    <n v="4.3724999999999996"/>
    <n v="91.822500000000005"/>
    <x v="39"/>
    <x v="245"/>
    <x v="2"/>
    <n v="87.45"/>
    <n v="4.7619047620000003"/>
    <x v="902"/>
    <n v="7.3"/>
  </r>
  <r>
    <x v="911"/>
    <s v="C"/>
    <x v="1"/>
    <x v="1"/>
    <x v="0"/>
    <x v="1"/>
    <n v="56.13"/>
    <n v="4"/>
    <n v="11.226000000000001"/>
    <n v="235.74600000000001"/>
    <x v="64"/>
    <x v="354"/>
    <x v="0"/>
    <n v="224.52"/>
    <n v="4.7619047620000003"/>
    <x v="903"/>
    <n v="8.6"/>
  </r>
  <r>
    <x v="912"/>
    <s v="A"/>
    <x v="0"/>
    <x v="1"/>
    <x v="0"/>
    <x v="2"/>
    <n v="93.12"/>
    <n v="8"/>
    <n v="37.247999999999998"/>
    <n v="782.20799999999997"/>
    <x v="13"/>
    <x v="495"/>
    <x v="1"/>
    <n v="744.96"/>
    <n v="4.7619047620000003"/>
    <x v="904"/>
    <n v="6.8"/>
  </r>
  <r>
    <x v="913"/>
    <s v="A"/>
    <x v="0"/>
    <x v="0"/>
    <x v="1"/>
    <x v="5"/>
    <n v="51.34"/>
    <n v="8"/>
    <n v="20.536000000000001"/>
    <n v="431.25599999999997"/>
    <x v="82"/>
    <x v="158"/>
    <x v="0"/>
    <n v="410.72"/>
    <n v="4.7619047620000003"/>
    <x v="905"/>
    <n v="7.6"/>
  </r>
  <r>
    <x v="914"/>
    <s v="A"/>
    <x v="0"/>
    <x v="0"/>
    <x v="0"/>
    <x v="4"/>
    <n v="99.6"/>
    <n v="3"/>
    <n v="14.94"/>
    <n v="313.74"/>
    <x v="6"/>
    <x v="40"/>
    <x v="1"/>
    <n v="298.8"/>
    <n v="4.7619047620000003"/>
    <x v="906"/>
    <n v="5.8"/>
  </r>
  <r>
    <x v="915"/>
    <s v="C"/>
    <x v="1"/>
    <x v="1"/>
    <x v="0"/>
    <x v="1"/>
    <n v="35.49"/>
    <n v="6"/>
    <n v="10.647"/>
    <n v="223.58699999999999"/>
    <x v="30"/>
    <x v="343"/>
    <x v="1"/>
    <n v="212.94"/>
    <n v="4.7619047620000003"/>
    <x v="907"/>
    <n v="4.0999999999999996"/>
  </r>
  <r>
    <x v="916"/>
    <s v="C"/>
    <x v="1"/>
    <x v="0"/>
    <x v="1"/>
    <x v="3"/>
    <n v="42.85"/>
    <n v="1"/>
    <n v="2.1425000000000001"/>
    <n v="44.9925"/>
    <x v="86"/>
    <x v="29"/>
    <x v="2"/>
    <n v="42.85"/>
    <n v="4.7619047620000003"/>
    <x v="908"/>
    <n v="9.3000000000000007"/>
  </r>
  <r>
    <x v="917"/>
    <s v="A"/>
    <x v="0"/>
    <x v="1"/>
    <x v="0"/>
    <x v="5"/>
    <n v="94.67"/>
    <n v="4"/>
    <n v="18.934000000000001"/>
    <n v="397.61399999999998"/>
    <x v="16"/>
    <x v="153"/>
    <x v="1"/>
    <n v="378.68"/>
    <n v="4.7619047620000003"/>
    <x v="909"/>
    <n v="6.8"/>
  </r>
  <r>
    <x v="918"/>
    <s v="B"/>
    <x v="2"/>
    <x v="1"/>
    <x v="1"/>
    <x v="2"/>
    <n v="68.97"/>
    <n v="3"/>
    <n v="10.345499999999999"/>
    <n v="217.25550000000001"/>
    <x v="70"/>
    <x v="55"/>
    <x v="0"/>
    <n v="206.91"/>
    <n v="4.7619047620000003"/>
    <x v="910"/>
    <n v="8.6999999999999993"/>
  </r>
  <r>
    <x v="919"/>
    <s v="B"/>
    <x v="2"/>
    <x v="0"/>
    <x v="0"/>
    <x v="1"/>
    <n v="26.26"/>
    <n v="3"/>
    <n v="3.9390000000000001"/>
    <n v="82.718999999999994"/>
    <x v="22"/>
    <x v="482"/>
    <x v="0"/>
    <n v="78.78"/>
    <n v="4.7619047620000003"/>
    <x v="911"/>
    <n v="6.3"/>
  </r>
  <r>
    <x v="920"/>
    <s v="C"/>
    <x v="1"/>
    <x v="0"/>
    <x v="0"/>
    <x v="2"/>
    <n v="35.79"/>
    <n v="9"/>
    <n v="16.105499999999999"/>
    <n v="338.21550000000002"/>
    <x v="24"/>
    <x v="379"/>
    <x v="2"/>
    <n v="322.11"/>
    <n v="4.7619047620000003"/>
    <x v="912"/>
    <n v="5.0999999999999996"/>
  </r>
  <r>
    <x v="921"/>
    <s v="B"/>
    <x v="2"/>
    <x v="1"/>
    <x v="0"/>
    <x v="2"/>
    <n v="16.37"/>
    <n v="6"/>
    <n v="4.9109999999999996"/>
    <n v="103.131"/>
    <x v="4"/>
    <x v="496"/>
    <x v="1"/>
    <n v="98.22"/>
    <n v="4.7619047620000003"/>
    <x v="913"/>
    <n v="7"/>
  </r>
  <r>
    <x v="922"/>
    <s v="C"/>
    <x v="1"/>
    <x v="0"/>
    <x v="0"/>
    <x v="2"/>
    <n v="12.73"/>
    <n v="2"/>
    <n v="1.2729999999999999"/>
    <n v="26.733000000000001"/>
    <x v="70"/>
    <x v="334"/>
    <x v="2"/>
    <n v="25.46"/>
    <n v="4.7619047620000003"/>
    <x v="914"/>
    <n v="5.2"/>
  </r>
  <r>
    <x v="923"/>
    <s v="C"/>
    <x v="1"/>
    <x v="1"/>
    <x v="0"/>
    <x v="3"/>
    <n v="83.14"/>
    <n v="7"/>
    <n v="29.099"/>
    <n v="611.07899999999995"/>
    <x v="8"/>
    <x v="359"/>
    <x v="2"/>
    <n v="581.98"/>
    <n v="4.7619047620000003"/>
    <x v="915"/>
    <n v="6.6"/>
  </r>
  <r>
    <x v="924"/>
    <s v="C"/>
    <x v="1"/>
    <x v="0"/>
    <x v="0"/>
    <x v="3"/>
    <n v="35.22"/>
    <n v="6"/>
    <n v="10.566000000000001"/>
    <n v="221.886"/>
    <x v="86"/>
    <x v="497"/>
    <x v="0"/>
    <n v="211.32"/>
    <n v="4.7619047620000003"/>
    <x v="916"/>
    <n v="6.5"/>
  </r>
  <r>
    <x v="925"/>
    <s v="B"/>
    <x v="2"/>
    <x v="1"/>
    <x v="0"/>
    <x v="1"/>
    <n v="13.78"/>
    <n v="4"/>
    <n v="2.7559999999999998"/>
    <n v="57.875999999999998"/>
    <x v="8"/>
    <x v="498"/>
    <x v="0"/>
    <n v="55.12"/>
    <n v="4.7619047620000003"/>
    <x v="917"/>
    <n v="9"/>
  </r>
  <r>
    <x v="926"/>
    <s v="B"/>
    <x v="2"/>
    <x v="0"/>
    <x v="1"/>
    <x v="3"/>
    <n v="88.31"/>
    <n v="1"/>
    <n v="4.4154999999999998"/>
    <n v="92.725499999999997"/>
    <x v="42"/>
    <x v="180"/>
    <x v="2"/>
    <n v="88.31"/>
    <n v="4.7619047620000003"/>
    <x v="918"/>
    <n v="5.2"/>
  </r>
  <r>
    <x v="927"/>
    <s v="A"/>
    <x v="0"/>
    <x v="0"/>
    <x v="0"/>
    <x v="0"/>
    <n v="39.619999999999997"/>
    <n v="9"/>
    <n v="17.829000000000001"/>
    <n v="374.40899999999999"/>
    <x v="50"/>
    <x v="297"/>
    <x v="2"/>
    <n v="356.58"/>
    <n v="4.7619047620000003"/>
    <x v="919"/>
    <n v="6.8"/>
  </r>
  <r>
    <x v="928"/>
    <s v="B"/>
    <x v="2"/>
    <x v="1"/>
    <x v="0"/>
    <x v="1"/>
    <n v="88.25"/>
    <n v="9"/>
    <n v="39.712499999999999"/>
    <n v="833.96249999999998"/>
    <x v="42"/>
    <x v="259"/>
    <x v="2"/>
    <n v="794.25"/>
    <n v="4.7619047620000003"/>
    <x v="920"/>
    <n v="7.6"/>
  </r>
  <r>
    <x v="929"/>
    <s v="B"/>
    <x v="2"/>
    <x v="1"/>
    <x v="1"/>
    <x v="3"/>
    <n v="25.31"/>
    <n v="2"/>
    <n v="2.5310000000000001"/>
    <n v="53.151000000000003"/>
    <x v="22"/>
    <x v="206"/>
    <x v="0"/>
    <n v="50.62"/>
    <n v="4.7619047620000003"/>
    <x v="921"/>
    <n v="7.2"/>
  </r>
  <r>
    <x v="930"/>
    <s v="B"/>
    <x v="2"/>
    <x v="1"/>
    <x v="1"/>
    <x v="2"/>
    <n v="99.92"/>
    <n v="6"/>
    <n v="29.975999999999999"/>
    <n v="629.49599999999998"/>
    <x v="62"/>
    <x v="499"/>
    <x v="0"/>
    <n v="599.52"/>
    <n v="4.7619047620000003"/>
    <x v="922"/>
    <n v="7.1"/>
  </r>
  <r>
    <x v="931"/>
    <s v="C"/>
    <x v="1"/>
    <x v="0"/>
    <x v="0"/>
    <x v="5"/>
    <n v="83.35"/>
    <n v="2"/>
    <n v="8.3350000000000009"/>
    <n v="175.035"/>
    <x v="30"/>
    <x v="500"/>
    <x v="2"/>
    <n v="166.7"/>
    <n v="4.7619047620000003"/>
    <x v="923"/>
    <n v="9.5"/>
  </r>
  <r>
    <x v="932"/>
    <s v="A"/>
    <x v="0"/>
    <x v="1"/>
    <x v="0"/>
    <x v="4"/>
    <n v="74.44"/>
    <n v="10"/>
    <n v="37.22"/>
    <n v="781.62"/>
    <x v="33"/>
    <x v="335"/>
    <x v="0"/>
    <n v="744.4"/>
    <n v="4.7619047620000003"/>
    <x v="924"/>
    <n v="5.0999999999999996"/>
  </r>
  <r>
    <x v="933"/>
    <s v="C"/>
    <x v="1"/>
    <x v="1"/>
    <x v="1"/>
    <x v="0"/>
    <n v="64.08"/>
    <n v="7"/>
    <n v="22.428000000000001"/>
    <n v="470.988"/>
    <x v="40"/>
    <x v="62"/>
    <x v="0"/>
    <n v="448.56"/>
    <n v="4.7619047620000003"/>
    <x v="671"/>
    <n v="7.6"/>
  </r>
  <r>
    <x v="934"/>
    <s v="B"/>
    <x v="2"/>
    <x v="1"/>
    <x v="0"/>
    <x v="2"/>
    <n v="63.15"/>
    <n v="6"/>
    <n v="18.945"/>
    <n v="397.84500000000003"/>
    <x v="75"/>
    <x v="181"/>
    <x v="0"/>
    <n v="378.9"/>
    <n v="4.7619047620000003"/>
    <x v="925"/>
    <n v="9.8000000000000007"/>
  </r>
  <r>
    <x v="935"/>
    <s v="C"/>
    <x v="1"/>
    <x v="0"/>
    <x v="1"/>
    <x v="2"/>
    <n v="85.72"/>
    <n v="3"/>
    <n v="12.858000000000001"/>
    <n v="270.01799999999997"/>
    <x v="46"/>
    <x v="123"/>
    <x v="0"/>
    <n v="257.16000000000003"/>
    <n v="4.7619047620000003"/>
    <x v="926"/>
    <n v="5.0999999999999996"/>
  </r>
  <r>
    <x v="936"/>
    <s v="C"/>
    <x v="1"/>
    <x v="1"/>
    <x v="0"/>
    <x v="0"/>
    <n v="78.89"/>
    <n v="7"/>
    <n v="27.611499999999999"/>
    <n v="579.8415"/>
    <x v="0"/>
    <x v="28"/>
    <x v="0"/>
    <n v="552.23"/>
    <n v="4.7619047620000003"/>
    <x v="927"/>
    <n v="7.5"/>
  </r>
  <r>
    <x v="937"/>
    <s v="A"/>
    <x v="0"/>
    <x v="1"/>
    <x v="0"/>
    <x v="3"/>
    <n v="89.48"/>
    <n v="5"/>
    <n v="22.37"/>
    <n v="469.77"/>
    <x v="73"/>
    <x v="392"/>
    <x v="1"/>
    <n v="447.4"/>
    <n v="4.7619047620000003"/>
    <x v="928"/>
    <n v="7.4"/>
  </r>
  <r>
    <x v="938"/>
    <s v="A"/>
    <x v="0"/>
    <x v="0"/>
    <x v="0"/>
    <x v="0"/>
    <n v="92.09"/>
    <n v="3"/>
    <n v="13.813499999999999"/>
    <n v="290.08350000000002"/>
    <x v="21"/>
    <x v="501"/>
    <x v="1"/>
    <n v="276.27"/>
    <n v="4.7619047620000003"/>
    <x v="929"/>
    <n v="4.2"/>
  </r>
  <r>
    <x v="939"/>
    <s v="C"/>
    <x v="1"/>
    <x v="1"/>
    <x v="0"/>
    <x v="4"/>
    <n v="57.29"/>
    <n v="6"/>
    <n v="17.187000000000001"/>
    <n v="360.92700000000002"/>
    <x v="76"/>
    <x v="72"/>
    <x v="0"/>
    <n v="343.74"/>
    <n v="4.7619047620000003"/>
    <x v="930"/>
    <n v="5.9"/>
  </r>
  <r>
    <x v="940"/>
    <s v="A"/>
    <x v="0"/>
    <x v="1"/>
    <x v="1"/>
    <x v="4"/>
    <n v="66.52"/>
    <n v="4"/>
    <n v="13.304"/>
    <n v="279.38400000000001"/>
    <x v="22"/>
    <x v="92"/>
    <x v="0"/>
    <n v="266.08"/>
    <n v="4.7619047620000003"/>
    <x v="931"/>
    <n v="6.9"/>
  </r>
  <r>
    <x v="941"/>
    <s v="C"/>
    <x v="1"/>
    <x v="0"/>
    <x v="1"/>
    <x v="5"/>
    <n v="99.82"/>
    <n v="9"/>
    <n v="44.918999999999997"/>
    <n v="943.29899999999998"/>
    <x v="39"/>
    <x v="100"/>
    <x v="1"/>
    <n v="898.38"/>
    <n v="4.7619047620000003"/>
    <x v="932"/>
    <n v="6.6"/>
  </r>
  <r>
    <x v="942"/>
    <s v="A"/>
    <x v="0"/>
    <x v="1"/>
    <x v="0"/>
    <x v="2"/>
    <n v="45.68"/>
    <n v="10"/>
    <n v="22.84"/>
    <n v="479.64"/>
    <x v="64"/>
    <x v="171"/>
    <x v="0"/>
    <n v="456.8"/>
    <n v="4.7619047620000003"/>
    <x v="933"/>
    <n v="5.7"/>
  </r>
  <r>
    <x v="943"/>
    <s v="A"/>
    <x v="0"/>
    <x v="1"/>
    <x v="1"/>
    <x v="0"/>
    <n v="50.79"/>
    <n v="5"/>
    <n v="12.6975"/>
    <n v="266.64749999999998"/>
    <x v="88"/>
    <x v="222"/>
    <x v="2"/>
    <n v="253.95"/>
    <n v="4.7619047620000003"/>
    <x v="934"/>
    <n v="5.3"/>
  </r>
  <r>
    <x v="944"/>
    <s v="A"/>
    <x v="0"/>
    <x v="0"/>
    <x v="1"/>
    <x v="0"/>
    <n v="10.08"/>
    <n v="7"/>
    <n v="3.528"/>
    <n v="74.087999999999994"/>
    <x v="61"/>
    <x v="253"/>
    <x v="1"/>
    <n v="70.56"/>
    <n v="4.7619047620000003"/>
    <x v="935"/>
    <n v="4.2"/>
  </r>
  <r>
    <x v="945"/>
    <s v="A"/>
    <x v="0"/>
    <x v="1"/>
    <x v="0"/>
    <x v="1"/>
    <n v="93.88"/>
    <n v="7"/>
    <n v="32.857999999999997"/>
    <n v="690.01800000000003"/>
    <x v="0"/>
    <x v="159"/>
    <x v="2"/>
    <n v="657.16"/>
    <n v="4.7619047620000003"/>
    <x v="936"/>
    <n v="7.3"/>
  </r>
  <r>
    <x v="946"/>
    <s v="C"/>
    <x v="1"/>
    <x v="0"/>
    <x v="1"/>
    <x v="1"/>
    <n v="84.25"/>
    <n v="2"/>
    <n v="8.4250000000000007"/>
    <n v="176.92500000000001"/>
    <x v="58"/>
    <x v="385"/>
    <x v="2"/>
    <n v="168.5"/>
    <n v="4.7619047620000003"/>
    <x v="937"/>
    <n v="5.3"/>
  </r>
  <r>
    <x v="947"/>
    <s v="B"/>
    <x v="2"/>
    <x v="0"/>
    <x v="1"/>
    <x v="5"/>
    <n v="53.78"/>
    <n v="1"/>
    <n v="2.6890000000000001"/>
    <n v="56.469000000000001"/>
    <x v="36"/>
    <x v="430"/>
    <x v="0"/>
    <n v="53.78"/>
    <n v="4.7619047620000003"/>
    <x v="938"/>
    <n v="4.7"/>
  </r>
  <r>
    <x v="948"/>
    <s v="C"/>
    <x v="1"/>
    <x v="0"/>
    <x v="1"/>
    <x v="2"/>
    <n v="35.81"/>
    <n v="5"/>
    <n v="8.9525000000000006"/>
    <n v="188.0025"/>
    <x v="10"/>
    <x v="114"/>
    <x v="0"/>
    <n v="179.05"/>
    <n v="4.7619047620000003"/>
    <x v="939"/>
    <n v="7.9"/>
  </r>
  <r>
    <x v="949"/>
    <s v="B"/>
    <x v="2"/>
    <x v="1"/>
    <x v="0"/>
    <x v="4"/>
    <n v="26.43"/>
    <n v="8"/>
    <n v="10.571999999999999"/>
    <n v="222.012"/>
    <x v="7"/>
    <x v="442"/>
    <x v="0"/>
    <n v="211.44"/>
    <n v="4.7619047620000003"/>
    <x v="940"/>
    <n v="8.9"/>
  </r>
  <r>
    <x v="950"/>
    <s v="B"/>
    <x v="2"/>
    <x v="0"/>
    <x v="1"/>
    <x v="0"/>
    <n v="39.909999999999997"/>
    <n v="3"/>
    <n v="5.9865000000000004"/>
    <n v="125.7165"/>
    <x v="81"/>
    <x v="343"/>
    <x v="0"/>
    <n v="119.73"/>
    <n v="4.7619047620000003"/>
    <x v="941"/>
    <n v="9.3000000000000007"/>
  </r>
  <r>
    <x v="951"/>
    <s v="B"/>
    <x v="2"/>
    <x v="0"/>
    <x v="0"/>
    <x v="2"/>
    <n v="21.9"/>
    <n v="3"/>
    <n v="3.2850000000000001"/>
    <n v="68.984999999999999"/>
    <x v="51"/>
    <x v="362"/>
    <x v="0"/>
    <n v="65.7"/>
    <n v="4.7619047620000003"/>
    <x v="942"/>
    <n v="4.7"/>
  </r>
  <r>
    <x v="952"/>
    <s v="B"/>
    <x v="2"/>
    <x v="0"/>
    <x v="0"/>
    <x v="4"/>
    <n v="62.85"/>
    <n v="4"/>
    <n v="12.57"/>
    <n v="263.97000000000003"/>
    <x v="6"/>
    <x v="93"/>
    <x v="0"/>
    <n v="251.4"/>
    <n v="4.7619047620000003"/>
    <x v="156"/>
    <n v="8.6999999999999993"/>
  </r>
  <r>
    <x v="953"/>
    <s v="C"/>
    <x v="1"/>
    <x v="0"/>
    <x v="0"/>
    <x v="4"/>
    <n v="21.04"/>
    <n v="4"/>
    <n v="4.2080000000000002"/>
    <n v="88.367999999999995"/>
    <x v="50"/>
    <x v="139"/>
    <x v="1"/>
    <n v="84.16"/>
    <n v="4.7619047620000003"/>
    <x v="943"/>
    <n v="7.6"/>
  </r>
  <r>
    <x v="954"/>
    <s v="B"/>
    <x v="2"/>
    <x v="0"/>
    <x v="1"/>
    <x v="2"/>
    <n v="65.91"/>
    <n v="6"/>
    <n v="19.773"/>
    <n v="415.233"/>
    <x v="57"/>
    <x v="393"/>
    <x v="1"/>
    <n v="395.46"/>
    <n v="4.7619047620000003"/>
    <x v="944"/>
    <n v="5.7"/>
  </r>
  <r>
    <x v="955"/>
    <s v="A"/>
    <x v="0"/>
    <x v="1"/>
    <x v="0"/>
    <x v="5"/>
    <n v="42.57"/>
    <n v="7"/>
    <n v="14.8995"/>
    <n v="312.8895"/>
    <x v="47"/>
    <x v="159"/>
    <x v="1"/>
    <n v="297.99"/>
    <n v="4.7619047620000003"/>
    <x v="945"/>
    <n v="6.8"/>
  </r>
  <r>
    <x v="956"/>
    <s v="C"/>
    <x v="1"/>
    <x v="0"/>
    <x v="1"/>
    <x v="4"/>
    <n v="50.49"/>
    <n v="9"/>
    <n v="22.720500000000001"/>
    <n v="477.13049999999998"/>
    <x v="8"/>
    <x v="361"/>
    <x v="1"/>
    <n v="454.41"/>
    <n v="4.7619047620000003"/>
    <x v="946"/>
    <n v="5.4"/>
  </r>
  <r>
    <x v="957"/>
    <s v="B"/>
    <x v="2"/>
    <x v="1"/>
    <x v="1"/>
    <x v="1"/>
    <n v="46.02"/>
    <n v="6"/>
    <n v="13.805999999999999"/>
    <n v="289.92599999999999"/>
    <x v="13"/>
    <x v="57"/>
    <x v="1"/>
    <n v="276.12"/>
    <n v="4.7619047620000003"/>
    <x v="947"/>
    <n v="7.1"/>
  </r>
  <r>
    <x v="958"/>
    <s v="C"/>
    <x v="1"/>
    <x v="1"/>
    <x v="0"/>
    <x v="2"/>
    <n v="15.8"/>
    <n v="10"/>
    <n v="7.9"/>
    <n v="165.9"/>
    <x v="51"/>
    <x v="348"/>
    <x v="1"/>
    <n v="158"/>
    <n v="4.7619047620000003"/>
    <x v="948"/>
    <n v="7.8"/>
  </r>
  <r>
    <x v="959"/>
    <s v="A"/>
    <x v="0"/>
    <x v="0"/>
    <x v="0"/>
    <x v="4"/>
    <n v="98.66"/>
    <n v="9"/>
    <n v="44.396999999999998"/>
    <n v="932.33699999999999"/>
    <x v="88"/>
    <x v="133"/>
    <x v="1"/>
    <n v="887.94"/>
    <n v="4.7619047620000003"/>
    <x v="949"/>
    <n v="8.4"/>
  </r>
  <r>
    <x v="960"/>
    <s v="C"/>
    <x v="1"/>
    <x v="0"/>
    <x v="1"/>
    <x v="5"/>
    <n v="91.98"/>
    <n v="1"/>
    <n v="4.5990000000000002"/>
    <n v="96.578999999999994"/>
    <x v="79"/>
    <x v="406"/>
    <x v="1"/>
    <n v="91.98"/>
    <n v="4.7619047620000003"/>
    <x v="950"/>
    <n v="9.8000000000000007"/>
  </r>
  <r>
    <x v="961"/>
    <s v="A"/>
    <x v="0"/>
    <x v="0"/>
    <x v="1"/>
    <x v="1"/>
    <n v="20.89"/>
    <n v="2"/>
    <n v="2.089"/>
    <n v="43.869"/>
    <x v="63"/>
    <x v="40"/>
    <x v="1"/>
    <n v="41.78"/>
    <n v="4.7619047620000003"/>
    <x v="951"/>
    <n v="9.8000000000000007"/>
  </r>
  <r>
    <x v="962"/>
    <s v="A"/>
    <x v="0"/>
    <x v="1"/>
    <x v="0"/>
    <x v="5"/>
    <n v="15.5"/>
    <n v="1"/>
    <n v="0.77500000000000002"/>
    <n v="16.274999999999999"/>
    <x v="35"/>
    <x v="502"/>
    <x v="2"/>
    <n v="15.5"/>
    <n v="4.7619047620000003"/>
    <x v="952"/>
    <n v="7.4"/>
  </r>
  <r>
    <x v="963"/>
    <s v="C"/>
    <x v="1"/>
    <x v="0"/>
    <x v="1"/>
    <x v="1"/>
    <n v="96.82"/>
    <n v="3"/>
    <n v="14.523"/>
    <n v="304.983"/>
    <x v="73"/>
    <x v="291"/>
    <x v="1"/>
    <n v="290.45999999999998"/>
    <n v="4.7619047620000003"/>
    <x v="953"/>
    <n v="6.7"/>
  </r>
  <r>
    <x v="964"/>
    <s v="B"/>
    <x v="2"/>
    <x v="1"/>
    <x v="1"/>
    <x v="4"/>
    <n v="33.33"/>
    <n v="2"/>
    <n v="3.3330000000000002"/>
    <n v="69.992999999999995"/>
    <x v="53"/>
    <x v="400"/>
    <x v="2"/>
    <n v="66.66"/>
    <n v="4.7619047620000003"/>
    <x v="954"/>
    <n v="6.4"/>
  </r>
  <r>
    <x v="965"/>
    <s v="B"/>
    <x v="2"/>
    <x v="1"/>
    <x v="0"/>
    <x v="1"/>
    <n v="38.270000000000003"/>
    <n v="2"/>
    <n v="3.827"/>
    <n v="80.367000000000004"/>
    <x v="22"/>
    <x v="503"/>
    <x v="2"/>
    <n v="76.540000000000006"/>
    <n v="4.7619047620000003"/>
    <x v="955"/>
    <n v="5.8"/>
  </r>
  <r>
    <x v="966"/>
    <s v="A"/>
    <x v="0"/>
    <x v="1"/>
    <x v="0"/>
    <x v="2"/>
    <n v="33.299999999999997"/>
    <n v="9"/>
    <n v="14.984999999999999"/>
    <n v="314.685"/>
    <x v="31"/>
    <x v="398"/>
    <x v="0"/>
    <n v="299.7"/>
    <n v="4.7619047620000003"/>
    <x v="956"/>
    <n v="7.2"/>
  </r>
  <r>
    <x v="967"/>
    <s v="A"/>
    <x v="0"/>
    <x v="0"/>
    <x v="1"/>
    <x v="2"/>
    <n v="81.010000000000005"/>
    <n v="3"/>
    <n v="12.1515"/>
    <n v="255.1815"/>
    <x v="50"/>
    <x v="197"/>
    <x v="2"/>
    <n v="243.03"/>
    <n v="4.7619047620000003"/>
    <x v="957"/>
    <n v="9.3000000000000007"/>
  </r>
  <r>
    <x v="968"/>
    <s v="A"/>
    <x v="0"/>
    <x v="1"/>
    <x v="0"/>
    <x v="0"/>
    <n v="15.8"/>
    <n v="3"/>
    <n v="2.37"/>
    <n v="49.77"/>
    <x v="5"/>
    <x v="454"/>
    <x v="1"/>
    <n v="47.4"/>
    <n v="4.7619047620000003"/>
    <x v="958"/>
    <n v="9.5"/>
  </r>
  <r>
    <x v="969"/>
    <s v="B"/>
    <x v="2"/>
    <x v="0"/>
    <x v="0"/>
    <x v="1"/>
    <n v="34.49"/>
    <n v="5"/>
    <n v="8.6225000000000005"/>
    <n v="181.07249999999999"/>
    <x v="16"/>
    <x v="143"/>
    <x v="2"/>
    <n v="172.45"/>
    <n v="4.7619047620000003"/>
    <x v="959"/>
    <n v="9"/>
  </r>
  <r>
    <x v="970"/>
    <s v="B"/>
    <x v="2"/>
    <x v="0"/>
    <x v="0"/>
    <x v="4"/>
    <n v="84.63"/>
    <n v="10"/>
    <n v="42.314999999999998"/>
    <n v="888.61500000000001"/>
    <x v="17"/>
    <x v="150"/>
    <x v="2"/>
    <n v="846.3"/>
    <n v="4.7619047620000003"/>
    <x v="960"/>
    <n v="9"/>
  </r>
  <r>
    <x v="971"/>
    <s v="B"/>
    <x v="2"/>
    <x v="0"/>
    <x v="1"/>
    <x v="2"/>
    <n v="36.909999999999997"/>
    <n v="7"/>
    <n v="12.9185"/>
    <n v="271.2885"/>
    <x v="34"/>
    <x v="477"/>
    <x v="0"/>
    <n v="258.37"/>
    <n v="4.7619047620000003"/>
    <x v="961"/>
    <n v="6.7"/>
  </r>
  <r>
    <x v="972"/>
    <s v="B"/>
    <x v="2"/>
    <x v="1"/>
    <x v="1"/>
    <x v="1"/>
    <n v="87.08"/>
    <n v="7"/>
    <n v="30.478000000000002"/>
    <n v="640.03800000000001"/>
    <x v="53"/>
    <x v="504"/>
    <x v="1"/>
    <n v="609.55999999999995"/>
    <n v="4.7619047620000003"/>
    <x v="962"/>
    <n v="5.5"/>
  </r>
  <r>
    <x v="973"/>
    <s v="A"/>
    <x v="0"/>
    <x v="1"/>
    <x v="1"/>
    <x v="2"/>
    <n v="80.08"/>
    <n v="3"/>
    <n v="12.012"/>
    <n v="252.25200000000001"/>
    <x v="48"/>
    <x v="406"/>
    <x v="1"/>
    <n v="240.24"/>
    <n v="4.7619047620000003"/>
    <x v="963"/>
    <n v="5.4"/>
  </r>
  <r>
    <x v="974"/>
    <s v="C"/>
    <x v="1"/>
    <x v="1"/>
    <x v="1"/>
    <x v="5"/>
    <n v="86.13"/>
    <n v="2"/>
    <n v="8.6129999999999995"/>
    <n v="180.87299999999999"/>
    <x v="13"/>
    <x v="422"/>
    <x v="1"/>
    <n v="172.26"/>
    <n v="4.7619047620000003"/>
    <x v="964"/>
    <n v="8.1999999999999993"/>
  </r>
  <r>
    <x v="975"/>
    <s v="B"/>
    <x v="2"/>
    <x v="0"/>
    <x v="1"/>
    <x v="5"/>
    <n v="49.92"/>
    <n v="2"/>
    <n v="4.992"/>
    <n v="104.83199999999999"/>
    <x v="43"/>
    <x v="479"/>
    <x v="2"/>
    <n v="99.84"/>
    <n v="4.7619047620000003"/>
    <x v="965"/>
    <n v="7"/>
  </r>
  <r>
    <x v="976"/>
    <s v="A"/>
    <x v="0"/>
    <x v="1"/>
    <x v="0"/>
    <x v="4"/>
    <n v="74.66"/>
    <n v="4"/>
    <n v="14.932"/>
    <n v="313.572"/>
    <x v="31"/>
    <x v="17"/>
    <x v="1"/>
    <n v="298.64"/>
    <n v="4.7619047620000003"/>
    <x v="966"/>
    <n v="8.5"/>
  </r>
  <r>
    <x v="977"/>
    <s v="B"/>
    <x v="2"/>
    <x v="0"/>
    <x v="1"/>
    <x v="4"/>
    <n v="26.6"/>
    <n v="6"/>
    <n v="7.98"/>
    <n v="167.58"/>
    <x v="84"/>
    <x v="50"/>
    <x v="0"/>
    <n v="159.6"/>
    <n v="4.7619047620000003"/>
    <x v="967"/>
    <n v="4.9000000000000004"/>
  </r>
  <r>
    <x v="978"/>
    <s v="B"/>
    <x v="2"/>
    <x v="1"/>
    <x v="0"/>
    <x v="1"/>
    <n v="25.45"/>
    <n v="1"/>
    <n v="1.2725"/>
    <n v="26.7225"/>
    <x v="24"/>
    <x v="397"/>
    <x v="2"/>
    <n v="25.45"/>
    <n v="4.7619047620000003"/>
    <x v="968"/>
    <n v="5.0999999999999996"/>
  </r>
  <r>
    <x v="979"/>
    <s v="B"/>
    <x v="2"/>
    <x v="1"/>
    <x v="0"/>
    <x v="4"/>
    <n v="67.77"/>
    <n v="1"/>
    <n v="3.3885000000000001"/>
    <n v="71.158500000000004"/>
    <x v="87"/>
    <x v="413"/>
    <x v="2"/>
    <n v="67.77"/>
    <n v="4.7619047620000003"/>
    <x v="969"/>
    <n v="6.5"/>
  </r>
  <r>
    <x v="980"/>
    <s v="C"/>
    <x v="1"/>
    <x v="0"/>
    <x v="1"/>
    <x v="4"/>
    <n v="59.59"/>
    <n v="4"/>
    <n v="11.917999999999999"/>
    <n v="250.27799999999999"/>
    <x v="64"/>
    <x v="69"/>
    <x v="1"/>
    <n v="238.36"/>
    <n v="4.7619047620000003"/>
    <x v="970"/>
    <n v="9.8000000000000007"/>
  </r>
  <r>
    <x v="981"/>
    <s v="A"/>
    <x v="0"/>
    <x v="1"/>
    <x v="1"/>
    <x v="0"/>
    <n v="58.15"/>
    <n v="4"/>
    <n v="11.63"/>
    <n v="244.23"/>
    <x v="54"/>
    <x v="292"/>
    <x v="1"/>
    <n v="232.6"/>
    <n v="4.7619047620000003"/>
    <x v="971"/>
    <n v="8.4"/>
  </r>
  <r>
    <x v="982"/>
    <s v="A"/>
    <x v="0"/>
    <x v="0"/>
    <x v="0"/>
    <x v="3"/>
    <n v="97.48"/>
    <n v="9"/>
    <n v="43.866"/>
    <n v="921.18600000000004"/>
    <x v="86"/>
    <x v="401"/>
    <x v="0"/>
    <n v="877.32"/>
    <n v="4.7619047620000003"/>
    <x v="972"/>
    <n v="7.4"/>
  </r>
  <r>
    <x v="983"/>
    <s v="C"/>
    <x v="1"/>
    <x v="1"/>
    <x v="1"/>
    <x v="0"/>
    <n v="99.96"/>
    <n v="7"/>
    <n v="34.985999999999997"/>
    <n v="734.70600000000002"/>
    <x v="54"/>
    <x v="373"/>
    <x v="1"/>
    <n v="699.72"/>
    <n v="4.7619047620000003"/>
    <x v="973"/>
    <n v="6.1"/>
  </r>
  <r>
    <x v="984"/>
    <s v="C"/>
    <x v="1"/>
    <x v="1"/>
    <x v="1"/>
    <x v="1"/>
    <n v="96.37"/>
    <n v="7"/>
    <n v="33.729500000000002"/>
    <n v="708.31949999999995"/>
    <x v="51"/>
    <x v="335"/>
    <x v="1"/>
    <n v="674.59"/>
    <n v="4.7619047620000003"/>
    <x v="974"/>
    <n v="6"/>
  </r>
  <r>
    <x v="985"/>
    <s v="B"/>
    <x v="2"/>
    <x v="1"/>
    <x v="0"/>
    <x v="5"/>
    <n v="63.71"/>
    <n v="5"/>
    <n v="15.9275"/>
    <n v="334.47750000000002"/>
    <x v="13"/>
    <x v="171"/>
    <x v="0"/>
    <n v="318.55"/>
    <n v="4.7619047620000003"/>
    <x v="975"/>
    <n v="8.5"/>
  </r>
  <r>
    <x v="986"/>
    <s v="B"/>
    <x v="2"/>
    <x v="1"/>
    <x v="0"/>
    <x v="0"/>
    <n v="14.76"/>
    <n v="2"/>
    <n v="1.476"/>
    <n v="30.995999999999999"/>
    <x v="67"/>
    <x v="51"/>
    <x v="0"/>
    <n v="29.52"/>
    <n v="4.7619047620000003"/>
    <x v="976"/>
    <n v="4.3"/>
  </r>
  <r>
    <x v="987"/>
    <s v="B"/>
    <x v="2"/>
    <x v="0"/>
    <x v="1"/>
    <x v="0"/>
    <n v="62"/>
    <n v="8"/>
    <n v="24.8"/>
    <n v="520.79999999999995"/>
    <x v="75"/>
    <x v="168"/>
    <x v="2"/>
    <n v="496"/>
    <n v="4.7619047620000003"/>
    <x v="977"/>
    <n v="6.2"/>
  </r>
  <r>
    <x v="988"/>
    <s v="C"/>
    <x v="1"/>
    <x v="0"/>
    <x v="1"/>
    <x v="1"/>
    <n v="82.34"/>
    <n v="10"/>
    <n v="41.17"/>
    <n v="864.57"/>
    <x v="14"/>
    <x v="505"/>
    <x v="0"/>
    <n v="823.4"/>
    <n v="4.7619047620000003"/>
    <x v="978"/>
    <n v="4.3"/>
  </r>
  <r>
    <x v="989"/>
    <s v="B"/>
    <x v="2"/>
    <x v="0"/>
    <x v="1"/>
    <x v="0"/>
    <n v="75.37"/>
    <n v="8"/>
    <n v="30.148"/>
    <n v="633.10799999999995"/>
    <x v="26"/>
    <x v="52"/>
    <x v="2"/>
    <n v="602.96"/>
    <n v="4.7619047620000003"/>
    <x v="979"/>
    <n v="8.4"/>
  </r>
  <r>
    <x v="990"/>
    <s v="A"/>
    <x v="0"/>
    <x v="1"/>
    <x v="0"/>
    <x v="4"/>
    <n v="56.56"/>
    <n v="5"/>
    <n v="14.14"/>
    <n v="296.94"/>
    <x v="23"/>
    <x v="216"/>
    <x v="2"/>
    <n v="282.8"/>
    <n v="4.7619047620000003"/>
    <x v="980"/>
    <n v="4.5"/>
  </r>
  <r>
    <x v="991"/>
    <s v="B"/>
    <x v="2"/>
    <x v="1"/>
    <x v="0"/>
    <x v="3"/>
    <n v="76.599999999999994"/>
    <n v="10"/>
    <n v="38.299999999999997"/>
    <n v="804.3"/>
    <x v="46"/>
    <x v="397"/>
    <x v="0"/>
    <n v="766"/>
    <n v="4.7619047620000003"/>
    <x v="981"/>
    <n v="6"/>
  </r>
  <r>
    <x v="992"/>
    <s v="A"/>
    <x v="0"/>
    <x v="1"/>
    <x v="1"/>
    <x v="1"/>
    <n v="58.03"/>
    <n v="2"/>
    <n v="5.8029999999999999"/>
    <n v="121.863"/>
    <x v="24"/>
    <x v="351"/>
    <x v="0"/>
    <n v="116.06"/>
    <n v="4.7619047620000003"/>
    <x v="982"/>
    <n v="8.8000000000000007"/>
  </r>
  <r>
    <x v="993"/>
    <s v="B"/>
    <x v="2"/>
    <x v="1"/>
    <x v="1"/>
    <x v="5"/>
    <n v="17.489999999999998"/>
    <n v="10"/>
    <n v="8.7449999999999992"/>
    <n v="183.64500000000001"/>
    <x v="70"/>
    <x v="476"/>
    <x v="0"/>
    <n v="174.9"/>
    <n v="4.7619047620000003"/>
    <x v="983"/>
    <n v="6.6"/>
  </r>
  <r>
    <x v="994"/>
    <s v="C"/>
    <x v="1"/>
    <x v="0"/>
    <x v="0"/>
    <x v="1"/>
    <n v="60.95"/>
    <n v="1"/>
    <n v="3.0474999999999999"/>
    <n v="63.997500000000002"/>
    <x v="67"/>
    <x v="335"/>
    <x v="0"/>
    <n v="60.95"/>
    <n v="4.7619047620000003"/>
    <x v="984"/>
    <n v="5.9"/>
  </r>
  <r>
    <x v="995"/>
    <s v="C"/>
    <x v="1"/>
    <x v="1"/>
    <x v="1"/>
    <x v="0"/>
    <n v="40.35"/>
    <n v="1"/>
    <n v="2.0175000000000001"/>
    <n v="42.3675"/>
    <x v="71"/>
    <x v="190"/>
    <x v="0"/>
    <n v="40.35"/>
    <n v="4.7619047620000003"/>
    <x v="985"/>
    <n v="6.2"/>
  </r>
  <r>
    <x v="996"/>
    <s v="B"/>
    <x v="2"/>
    <x v="1"/>
    <x v="0"/>
    <x v="2"/>
    <n v="97.38"/>
    <n v="10"/>
    <n v="48.69"/>
    <n v="1022.49"/>
    <x v="22"/>
    <x v="361"/>
    <x v="0"/>
    <n v="973.8"/>
    <n v="4.7619047620000003"/>
    <x v="986"/>
    <n v="4.4000000000000004"/>
  </r>
  <r>
    <x v="997"/>
    <s v="A"/>
    <x v="0"/>
    <x v="0"/>
    <x v="1"/>
    <x v="4"/>
    <n v="31.84"/>
    <n v="1"/>
    <n v="1.5920000000000001"/>
    <n v="33.432000000000002"/>
    <x v="57"/>
    <x v="93"/>
    <x v="1"/>
    <n v="31.84"/>
    <n v="4.7619047620000003"/>
    <x v="987"/>
    <n v="7.7"/>
  </r>
  <r>
    <x v="998"/>
    <s v="A"/>
    <x v="0"/>
    <x v="1"/>
    <x v="1"/>
    <x v="2"/>
    <n v="65.819999999999993"/>
    <n v="1"/>
    <n v="3.2909999999999999"/>
    <n v="69.111000000000004"/>
    <x v="70"/>
    <x v="439"/>
    <x v="1"/>
    <n v="65.819999999999993"/>
    <n v="4.7619047620000003"/>
    <x v="988"/>
    <n v="4.0999999999999996"/>
  </r>
  <r>
    <x v="999"/>
    <s v="A"/>
    <x v="0"/>
    <x v="0"/>
    <x v="0"/>
    <x v="5"/>
    <n v="88.34"/>
    <n v="7"/>
    <n v="30.919"/>
    <n v="649.29899999999998"/>
    <x v="67"/>
    <x v="360"/>
    <x v="1"/>
    <n v="618.38"/>
    <n v="4.7619047620000003"/>
    <x v="98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8E83E1-2B96-42AB-9DD0-7AAE5644E0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type">
  <location ref="A56:B59" firstHeaderRow="1" firstDataRow="1" firstDataCol="1"/>
  <pivotFields count="19">
    <pivotField showAll="0"/>
    <pivotField showAll="0"/>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15">
        <item h="1" x="0"/>
        <item x="1"/>
        <item x="2"/>
        <item x="3"/>
        <item h="1" x="4"/>
        <item h="1" x="5"/>
        <item h="1" x="6"/>
        <item h="1" x="7"/>
        <item h="1" x="8"/>
        <item h="1" x="9"/>
        <item h="1" x="10"/>
        <item h="1" x="11"/>
        <item h="1" x="12"/>
        <item h="1"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C207F0-B0AA-4D04-B552-ADD4C8912D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ayment">
  <location ref="A36:B40" firstHeaderRow="1" firstDataRow="1" firstDataCol="1"/>
  <pivotFields count="19">
    <pivotField showAll="0"/>
    <pivotField showAll="0"/>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showAll="0"/>
    <pivotField showAll="0"/>
    <pivotField showAll="0"/>
    <pivotField showAll="0">
      <items count="15">
        <item h="1" x="0"/>
        <item x="1"/>
        <item x="2"/>
        <item x="3"/>
        <item h="1" x="4"/>
        <item h="1" x="5"/>
        <item h="1" x="6"/>
        <item h="1" x="7"/>
        <item h="1" x="8"/>
        <item h="1" x="9"/>
        <item h="1" x="10"/>
        <item h="1" x="11"/>
        <item h="1" x="12"/>
        <item h="1"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5" baseItem="0"/>
  </dataField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2" count="1" selected="0">
            <x v="0"/>
          </reference>
        </references>
      </pivotArea>
    </chartFormat>
    <chartFormat chart="7" format="7">
      <pivotArea type="data" outline="0" fieldPosition="0">
        <references count="2">
          <reference field="4294967294" count="1" selected="0">
            <x v="0"/>
          </reference>
          <reference field="12" count="1" selected="0">
            <x v="1"/>
          </reference>
        </references>
      </pivotArea>
    </chartFormat>
    <chartFormat chart="7"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6CF716-6F40-46D5-8A4F-A9B1BA807C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A47:B50" firstHeaderRow="1" firstDataRow="1" firstDataCol="1"/>
  <pivotFields count="19">
    <pivotField showAll="0"/>
    <pivotField showAll="0"/>
    <pivotField showAll="0">
      <items count="4">
        <item x="2"/>
        <item x="1"/>
        <item x="0"/>
        <item t="default"/>
      </items>
    </pivotField>
    <pivotField showAll="0"/>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15">
        <item h="1" x="0"/>
        <item x="1"/>
        <item x="2"/>
        <item x="3"/>
        <item h="1" x="4"/>
        <item h="1" x="5"/>
        <item h="1" x="6"/>
        <item h="1" x="7"/>
        <item h="1" x="8"/>
        <item h="1" x="9"/>
        <item h="1" x="10"/>
        <item h="1" x="11"/>
        <item h="1" x="12"/>
        <item h="1"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dataFields count="1">
    <dataField name="Sum of Total" fld="9" baseField="5" baseItem="0"/>
  </dataField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4" count="1" selected="0">
            <x v="0"/>
          </reference>
        </references>
      </pivotArea>
    </chartFormat>
    <chartFormat chart="7"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45058D-010A-409D-9F11-C8B3A8379A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26:B30" firstHeaderRow="1" firstDataRow="1" firstDataCol="1"/>
  <pivotFields count="19">
    <pivotField showAll="0"/>
    <pivotField showAll="0"/>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h="1"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axis="axisRow" showAll="0">
      <items count="15">
        <item h="1" x="0"/>
        <item x="1"/>
        <item x="2"/>
        <item x="3"/>
        <item h="1" x="4"/>
        <item h="1" x="5"/>
        <item h="1" x="6"/>
        <item h="1" x="7"/>
        <item h="1" x="8"/>
        <item h="1" x="9"/>
        <item h="1" x="10"/>
        <item h="1" x="11"/>
        <item h="1" x="12"/>
        <item h="1"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4">
    <i>
      <x v="1"/>
    </i>
    <i>
      <x v="2"/>
    </i>
    <i>
      <x v="3"/>
    </i>
    <i t="grand">
      <x/>
    </i>
  </rowItems>
  <colItems count="1">
    <i/>
  </colItems>
  <dataFields count="1">
    <dataField name="Sum of Total" fld="9" baseField="5" baseItem="0"/>
  </dataFields>
  <chartFormats count="5">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7" count="1" selected="0">
            <x v="1"/>
          </reference>
        </references>
      </pivotArea>
    </chartFormat>
    <chartFormat chart="7" format="4">
      <pivotArea type="data" outline="0" fieldPosition="0">
        <references count="2">
          <reference field="4294967294" count="1" selected="0">
            <x v="0"/>
          </reference>
          <reference field="17" count="1" selected="0">
            <x v="2"/>
          </reference>
        </references>
      </pivotArea>
    </chartFormat>
    <chartFormat chart="7" format="5">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1BFD1D-A524-4779-805E-A8DC481E3CE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me">
  <location ref="A104:B116" firstHeaderRow="1" firstDataRow="1" firstDataCol="1"/>
  <pivotFields count="19">
    <pivotField showAll="0"/>
    <pivotField showAll="0"/>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items count="15">
        <item h="1" x="0"/>
        <item x="1"/>
        <item x="2"/>
        <item x="3"/>
        <item h="1" x="4"/>
        <item h="1" x="5"/>
        <item h="1" x="6"/>
        <item h="1" x="7"/>
        <item h="1" x="8"/>
        <item h="1" x="9"/>
        <item h="1" x="10"/>
        <item h="1" x="11"/>
        <item h="1" x="12"/>
        <item h="1" x="13"/>
        <item t="default"/>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12">
    <i>
      <x v="11"/>
    </i>
    <i>
      <x v="12"/>
    </i>
    <i>
      <x v="13"/>
    </i>
    <i>
      <x v="14"/>
    </i>
    <i>
      <x v="15"/>
    </i>
    <i>
      <x v="16"/>
    </i>
    <i>
      <x v="17"/>
    </i>
    <i>
      <x v="18"/>
    </i>
    <i>
      <x v="19"/>
    </i>
    <i>
      <x v="20"/>
    </i>
    <i>
      <x v="21"/>
    </i>
    <i t="grand">
      <x/>
    </i>
  </rowItems>
  <colItems count="1">
    <i/>
  </colItems>
  <dataFields count="1">
    <dataField name="Sum of gross income" fld="15" baseField="0" baseItem="0"/>
  </dataFields>
  <formats count="1">
    <format dxfId="0">
      <pivotArea dataOnly="0" labelOnly="1"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5A7869-24BC-410B-A109-3F702F58B98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ine/city">
  <location ref="A64:B89" firstHeaderRow="1" firstDataRow="1" firstDataCol="1"/>
  <pivotFields count="19">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15">
        <item h="1" x="0"/>
        <item x="1"/>
        <item x="2"/>
        <item x="3"/>
        <item h="1" x="4"/>
        <item h="1" x="5"/>
        <item h="1" x="6"/>
        <item h="1" x="7"/>
        <item h="1" x="8"/>
        <item h="1" x="9"/>
        <item h="1" x="10"/>
        <item h="1" x="11"/>
        <item h="1" x="12"/>
        <item h="1"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5"/>
    <field x="2"/>
  </rowFields>
  <rowItems count="25">
    <i>
      <x/>
    </i>
    <i r="1">
      <x/>
    </i>
    <i r="1">
      <x v="1"/>
    </i>
    <i r="1">
      <x v="2"/>
    </i>
    <i>
      <x v="1"/>
    </i>
    <i r="1">
      <x/>
    </i>
    <i r="1">
      <x v="1"/>
    </i>
    <i r="1">
      <x v="2"/>
    </i>
    <i>
      <x v="2"/>
    </i>
    <i r="1">
      <x/>
    </i>
    <i r="1">
      <x v="1"/>
    </i>
    <i r="1">
      <x v="2"/>
    </i>
    <i>
      <x v="3"/>
    </i>
    <i r="1">
      <x/>
    </i>
    <i r="1">
      <x v="1"/>
    </i>
    <i r="1">
      <x v="2"/>
    </i>
    <i>
      <x v="4"/>
    </i>
    <i r="1">
      <x/>
    </i>
    <i r="1">
      <x v="1"/>
    </i>
    <i r="1">
      <x v="2"/>
    </i>
    <i>
      <x v="5"/>
    </i>
    <i r="1">
      <x/>
    </i>
    <i r="1">
      <x v="1"/>
    </i>
    <i r="1">
      <x v="2"/>
    </i>
    <i t="grand">
      <x/>
    </i>
  </rowItems>
  <colItems count="1">
    <i/>
  </colItems>
  <dataFields count="1">
    <dataField name="Average of Total" fld="9"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7FF72E-021B-49DA-9083-D4F3AB7C06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ine">
  <location ref="A3:B10" firstHeaderRow="1" firstDataRow="1" firstDataCol="1"/>
  <pivotFields count="19">
    <pivotField showAll="0"/>
    <pivotField showAll="0"/>
    <pivotField showAll="0">
      <items count="4">
        <item x="2"/>
        <item x="1"/>
        <item x="0"/>
        <item t="default"/>
      </items>
    </pivotField>
    <pivotField showAll="0"/>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15">
        <item h="1" x="0"/>
        <item x="1"/>
        <item x="2"/>
        <item x="3"/>
        <item h="1" x="4"/>
        <item h="1" x="5"/>
        <item h="1" x="6"/>
        <item h="1" x="7"/>
        <item h="1" x="8"/>
        <item h="1" x="9"/>
        <item h="1" x="10"/>
        <item h="1" x="11"/>
        <item h="1" x="12"/>
        <item h="1"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5" baseItem="0"/>
  </dataFields>
  <chartFormats count="8">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5"/>
          </reference>
        </references>
      </pivotArea>
    </chartFormat>
    <chartFormat chart="7" format="4">
      <pivotArea type="data" outline="0" fieldPosition="0">
        <references count="2">
          <reference field="4294967294" count="1" selected="0">
            <x v="0"/>
          </reference>
          <reference field="5" count="1" selected="0">
            <x v="4"/>
          </reference>
        </references>
      </pivotArea>
    </chartFormat>
    <chartFormat chart="7" format="5">
      <pivotArea type="data" outline="0" fieldPosition="0">
        <references count="2">
          <reference field="4294967294" count="1" selected="0">
            <x v="0"/>
          </reference>
          <reference field="5" count="1" selected="0">
            <x v="3"/>
          </reference>
        </references>
      </pivotArea>
    </chartFormat>
    <chartFormat chart="7" format="6">
      <pivotArea type="data" outline="0" fieldPosition="0">
        <references count="2">
          <reference field="4294967294" count="1" selected="0">
            <x v="0"/>
          </reference>
          <reference field="5" count="1" selected="0">
            <x v="2"/>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45A9E9-2390-4F36-AE9D-77576F5EC18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ine">
  <location ref="A93:B100" firstHeaderRow="1" firstDataRow="1" firstDataCol="1"/>
  <pivotFields count="19">
    <pivotField showAll="0"/>
    <pivotField showAll="0"/>
    <pivotField showAll="0">
      <items count="4">
        <item x="2"/>
        <item x="1"/>
        <item x="0"/>
        <item t="default"/>
      </items>
    </pivotField>
    <pivotField showAll="0"/>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items count="15">
        <item h="1" x="0"/>
        <item x="1"/>
        <item x="2"/>
        <item x="3"/>
        <item h="1" x="4"/>
        <item h="1" x="5"/>
        <item h="1" x="6"/>
        <item h="1" x="7"/>
        <item h="1" x="8"/>
        <item h="1" x="9"/>
        <item h="1" x="10"/>
        <item h="1" x="11"/>
        <item h="1" x="12"/>
        <item h="1"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DB2AEF-08EC-4A67-9A6F-3DE79FAC7E5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ine">
  <location ref="S2:T9" firstHeaderRow="1" firstDataRow="1" firstDataCol="1"/>
  <pivotFields count="19">
    <pivotField showAll="0"/>
    <pivotField showAll="0"/>
    <pivotField showAll="0">
      <items count="4">
        <item x="2"/>
        <item x="1"/>
        <item x="0"/>
        <item t="default"/>
      </items>
    </pivotField>
    <pivotField showAll="0"/>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15">
        <item h="1" x="0"/>
        <item x="1"/>
        <item x="2"/>
        <item x="3"/>
        <item h="1" x="4"/>
        <item h="1" x="5"/>
        <item h="1" x="6"/>
        <item h="1" x="7"/>
        <item h="1" x="8"/>
        <item h="1" x="9"/>
        <item h="1" x="10"/>
        <item h="1" x="11"/>
        <item h="1" x="12"/>
        <item h="1"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5" baseItem="0"/>
  </dataFields>
  <chartFormats count="8">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5"/>
          </reference>
        </references>
      </pivotArea>
    </chartFormat>
    <chartFormat chart="7" format="4">
      <pivotArea type="data" outline="0" fieldPosition="0">
        <references count="2">
          <reference field="4294967294" count="1" selected="0">
            <x v="0"/>
          </reference>
          <reference field="5" count="1" selected="0">
            <x v="4"/>
          </reference>
        </references>
      </pivotArea>
    </chartFormat>
    <chartFormat chart="7" format="5">
      <pivotArea type="data" outline="0" fieldPosition="0">
        <references count="2">
          <reference field="4294967294" count="1" selected="0">
            <x v="0"/>
          </reference>
          <reference field="5" count="1" selected="0">
            <x v="3"/>
          </reference>
        </references>
      </pivotArea>
    </chartFormat>
    <chartFormat chart="7" format="6">
      <pivotArea type="data" outline="0" fieldPosition="0">
        <references count="2">
          <reference field="4294967294" count="1" selected="0">
            <x v="0"/>
          </reference>
          <reference field="5" count="1" selected="0">
            <x v="2"/>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B5BF5D-E607-42BE-94D4-23A0D26D37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ity">
  <location ref="A16:B20" firstHeaderRow="1" firstDataRow="1" firstDataCol="1"/>
  <pivotFields count="19">
    <pivotField showAll="0"/>
    <pivotField showAll="0"/>
    <pivotField axis="axisRow" showAll="0" sortType="ascending">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15">
        <item h="1" x="0"/>
        <item x="1"/>
        <item x="2"/>
        <item x="3"/>
        <item h="1" x="4"/>
        <item h="1" x="5"/>
        <item h="1" x="6"/>
        <item h="1" x="7"/>
        <item h="1" x="8"/>
        <item h="1" x="9"/>
        <item h="1" x="10"/>
        <item h="1" x="11"/>
        <item h="1" x="12"/>
        <item h="1"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5"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299EDC4-DD8D-40BF-9244-B2250926C671}" sourceName="City">
  <pivotTables>
    <pivotTable tabId="6" name="PivotTable6"/>
    <pivotTable tabId="6" name="PivotTable1"/>
    <pivotTable tabId="6" name="PivotTable10"/>
    <pivotTable tabId="6" name="PivotTable2"/>
    <pivotTable tabId="6" name="PivotTable3"/>
    <pivotTable tabId="6" name="PivotTable4"/>
    <pivotTable tabId="6" name="PivotTable5"/>
    <pivotTable tabId="6" name="PivotTable7"/>
    <pivotTable tabId="6" name="PivotTable8"/>
    <pivotTable tabId="6" name="PivotTable9"/>
  </pivotTables>
  <data>
    <tabular pivotCacheId="210905027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6958D77-4A65-40A1-B003-4A9D7B103B26}" sourceName="Gender">
  <pivotTables>
    <pivotTable tabId="6" name="PivotTable6"/>
    <pivotTable tabId="6" name="PivotTable1"/>
    <pivotTable tabId="6" name="PivotTable10"/>
    <pivotTable tabId="6" name="PivotTable2"/>
    <pivotTable tabId="6" name="PivotTable3"/>
    <pivotTable tabId="6" name="PivotTable4"/>
    <pivotTable tabId="6" name="PivotTable5"/>
    <pivotTable tabId="6" name="PivotTable7"/>
    <pivotTable tabId="6" name="PivotTable8"/>
    <pivotTable tabId="6" name="PivotTable9"/>
  </pivotTables>
  <data>
    <tabular pivotCacheId="210905027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D7B881AB-4C13-442E-A340-3AC3743F3D0B}" sourceName="Product line">
  <pivotTables>
    <pivotTable tabId="6" name="PivotTable6"/>
    <pivotTable tabId="6" name="PivotTable1"/>
    <pivotTable tabId="6" name="PivotTable10"/>
    <pivotTable tabId="6" name="PivotTable2"/>
    <pivotTable tabId="6" name="PivotTable3"/>
    <pivotTable tabId="6" name="PivotTable4"/>
    <pivotTable tabId="6" name="PivotTable5"/>
    <pivotTable tabId="6" name="PivotTable7"/>
    <pivotTable tabId="6" name="PivotTable8"/>
    <pivotTable tabId="6" name="PivotTable9"/>
  </pivotTables>
  <data>
    <tabular pivotCacheId="2109050278">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15BB197-7141-4247-950D-B9538A8EAAEF}" sourceName="Months (Date)">
  <pivotTables>
    <pivotTable tabId="6" name="PivotTable3"/>
    <pivotTable tabId="6" name="PivotTable1"/>
    <pivotTable tabId="6" name="PivotTable10"/>
    <pivotTable tabId="6" name="PivotTable2"/>
    <pivotTable tabId="6" name="PivotTable4"/>
    <pivotTable tabId="6" name="PivotTable5"/>
    <pivotTable tabId="6" name="PivotTable6"/>
    <pivotTable tabId="6" name="PivotTable7"/>
    <pivotTable tabId="6" name="PivotTable8"/>
    <pivotTable tabId="6" name="PivotTable9"/>
  </pivotTables>
  <data>
    <tabular pivotCacheId="2109050278">
      <items count="14">
        <i x="1" s="1"/>
        <i x="2" s="1"/>
        <i x="3" s="1"/>
        <i x="4" nd="1"/>
        <i x="5" nd="1"/>
        <i x="6" nd="1"/>
        <i x="7" nd="1"/>
        <i x="8"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A8B4D16-44A8-4AE9-875E-A8BBE13636F1}" cache="Slicer_City" caption="City" rowHeight="234950"/>
  <slicer name="Gender" xr10:uid="{5B7DA2A7-E737-4FE9-B537-F6C03B06085B}" cache="Slicer_Gender" caption="Gender" rowHeight="234950"/>
  <slicer name="Product line" xr10:uid="{34CD604C-7EEE-4E11-B442-0349ED7600B5}" cache="Slicer_Product_line" caption="Product line" rowHeight="234950"/>
  <slicer name="Months (Date)" xr10:uid="{4470ACF9-90E1-4C9C-9F55-949589ADADD1}" cache="Slicer_Months__Date"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594176B-14A4-4373-A260-9D7D9D33A551}" cache="Slicer_City" caption="City" style="veda" rowHeight="234950"/>
  <slicer name="Gender 1" xr10:uid="{3E4171BD-824E-462D-9150-CF6D3417B6DE}" cache="Slicer_Gender" caption="Gender" style="veda" rowHeight="234950"/>
  <slicer name="Product line 1" xr10:uid="{41CF2D15-7145-48B8-A2FD-064DA0AAA2A9}" cache="Slicer_Product_line" caption="Product line" style="veda" rowHeight="234950"/>
  <slicer name="Months (Date) 1" xr10:uid="{A36AECC1-AB26-4B56-9F3F-BB50DB8D9E4B}" cache="Slicer_Months__Date" caption="Months (Date)" style="veda"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D09230-0875-4D4E-9439-F83EC2BF508A}" name="Table1" displayName="Table1" ref="A1:Q1001" totalsRowShown="0">
  <autoFilter ref="A1:Q1001" xr:uid="{9DD09230-0875-4D4E-9439-F83EC2BF508A}"/>
  <tableColumns count="17">
    <tableColumn id="1" xr3:uid="{F006D8ED-3CB3-490F-B9D0-106D6FB1A41F}" name="Invoice ID"/>
    <tableColumn id="2" xr3:uid="{688CE770-F719-42CD-B4D1-C4A1E9732DDC}" name="Branch"/>
    <tableColumn id="3" xr3:uid="{01113A49-BFA8-4945-A6F5-0101404984B4}" name="City"/>
    <tableColumn id="4" xr3:uid="{D83ADD1C-C520-44E4-940B-08E034EE6278}" name="Customer type"/>
    <tableColumn id="5" xr3:uid="{4800E2C9-33A6-4C9E-9B1F-0F1DA0F95650}" name="Gender"/>
    <tableColumn id="6" xr3:uid="{A5173D3F-3415-41E5-B48D-16C8F34CE415}" name="Product line"/>
    <tableColumn id="7" xr3:uid="{796AB7DE-2C00-4768-97D0-7B43B345F12B}" name="Unit price"/>
    <tableColumn id="8" xr3:uid="{ACC1C69B-4B18-44E2-A42F-46034F9AEB30}" name="Quantity"/>
    <tableColumn id="9" xr3:uid="{90603E65-7D57-44AB-981A-2A7745B7AA57}" name="Tax 5%"/>
    <tableColumn id="10" xr3:uid="{4C999F5C-5F79-4102-8E00-4683A9D4C2E9}" name="Total"/>
    <tableColumn id="11" xr3:uid="{CEC30B5A-8BA6-4B81-8358-2B6B2D527E52}" name="Date" dataDxfId="2"/>
    <tableColumn id="12" xr3:uid="{3FBB15FF-D941-41CF-A843-86956533DE8A}" name="Time" dataDxfId="1"/>
    <tableColumn id="13" xr3:uid="{B51059A1-3BAB-44FF-B672-FBD390A509B4}" name="Payment"/>
    <tableColumn id="14" xr3:uid="{2E896064-AB93-4F1F-AD58-B04343C123C1}" name="cogs"/>
    <tableColumn id="15" xr3:uid="{544A22A0-2802-4C5E-BB1F-C8E7AE8E860C}" name="gross margin percentage"/>
    <tableColumn id="16" xr3:uid="{A9CCA13F-87E0-4BD2-AB30-340042851BE0}" name="gross income"/>
    <tableColumn id="17" xr3:uid="{2D1232E1-ADC9-49E6-A8DD-11CC2E2FA571}"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8917A-5DCE-46B1-82B9-C80C734C2CD3}">
  <dimension ref="A1:S1001"/>
  <sheetViews>
    <sheetView topLeftCell="G1" zoomScale="78" workbookViewId="0">
      <selection activeCell="S10" sqref="S10"/>
    </sheetView>
  </sheetViews>
  <sheetFormatPr defaultRowHeight="14.4" x14ac:dyDescent="0.3"/>
  <cols>
    <col min="1" max="1" width="15.33203125" customWidth="1"/>
    <col min="2" max="2" width="16.88671875" customWidth="1"/>
    <col min="3" max="3" width="13.33203125" customWidth="1"/>
    <col min="4" max="4" width="18.77734375" customWidth="1"/>
    <col min="5" max="5" width="15.33203125" customWidth="1"/>
    <col min="6" max="6" width="22.88671875" customWidth="1"/>
    <col min="7" max="7" width="14.33203125" customWidth="1"/>
    <col min="8" max="8" width="13.33203125" customWidth="1"/>
    <col min="9" max="9" width="11.6640625" customWidth="1"/>
    <col min="10" max="10" width="13" customWidth="1"/>
    <col min="11" max="11" width="17" customWidth="1"/>
    <col min="12" max="12" width="12.21875" customWidth="1"/>
    <col min="13" max="13" width="17.21875" customWidth="1"/>
    <col min="14" max="14" width="11.44140625" customWidth="1"/>
    <col min="15" max="15" width="35" customWidth="1"/>
    <col min="16" max="16" width="30.5546875" customWidth="1"/>
    <col min="17" max="17" width="13.6640625" customWidth="1"/>
    <col min="19" max="19" width="23.55468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S1" s="5" t="s">
        <v>1039</v>
      </c>
    </row>
    <row r="2" spans="1:19" x14ac:dyDescent="0.3">
      <c r="A2" t="s">
        <v>17</v>
      </c>
      <c r="B2" t="s">
        <v>18</v>
      </c>
      <c r="C2" t="s">
        <v>19</v>
      </c>
      <c r="D2" t="s">
        <v>20</v>
      </c>
      <c r="E2" t="s">
        <v>21</v>
      </c>
      <c r="F2" t="s">
        <v>22</v>
      </c>
      <c r="G2">
        <v>74.69</v>
      </c>
      <c r="H2">
        <v>7</v>
      </c>
      <c r="I2">
        <v>26.141500000000001</v>
      </c>
      <c r="J2">
        <v>548.97149999999999</v>
      </c>
      <c r="K2" s="1">
        <v>43470</v>
      </c>
      <c r="L2" s="11">
        <v>0.54722222222222228</v>
      </c>
      <c r="M2" t="s">
        <v>23</v>
      </c>
      <c r="N2">
        <v>522.83000000000004</v>
      </c>
      <c r="O2">
        <v>4.7619047620000003</v>
      </c>
      <c r="P2">
        <v>26.141500000000001</v>
      </c>
      <c r="Q2">
        <v>9.1</v>
      </c>
      <c r="S2" s="7">
        <f>SUM(Table1[Total])</f>
        <v>322966.74900000007</v>
      </c>
    </row>
    <row r="3" spans="1:19" x14ac:dyDescent="0.3">
      <c r="A3" t="s">
        <v>24</v>
      </c>
      <c r="B3" t="s">
        <v>25</v>
      </c>
      <c r="C3" t="s">
        <v>26</v>
      </c>
      <c r="D3" t="s">
        <v>27</v>
      </c>
      <c r="E3" t="s">
        <v>21</v>
      </c>
      <c r="F3" t="s">
        <v>28</v>
      </c>
      <c r="G3">
        <v>15.28</v>
      </c>
      <c r="H3">
        <v>5</v>
      </c>
      <c r="I3">
        <v>3.82</v>
      </c>
      <c r="J3">
        <v>80.22</v>
      </c>
      <c r="K3" s="1">
        <v>43532</v>
      </c>
      <c r="L3" s="11">
        <v>0.43680555555555556</v>
      </c>
      <c r="M3" t="s">
        <v>29</v>
      </c>
      <c r="N3">
        <v>76.400000000000006</v>
      </c>
      <c r="O3">
        <v>4.7619047620000003</v>
      </c>
      <c r="P3">
        <v>3.82</v>
      </c>
      <c r="Q3">
        <v>9.6</v>
      </c>
      <c r="S3" s="5" t="s">
        <v>1040</v>
      </c>
    </row>
    <row r="4" spans="1:19" x14ac:dyDescent="0.3">
      <c r="A4" t="s">
        <v>30</v>
      </c>
      <c r="B4" t="s">
        <v>18</v>
      </c>
      <c r="C4" t="s">
        <v>19</v>
      </c>
      <c r="D4" t="s">
        <v>27</v>
      </c>
      <c r="E4" t="s">
        <v>31</v>
      </c>
      <c r="F4" t="s">
        <v>32</v>
      </c>
      <c r="G4">
        <v>46.33</v>
      </c>
      <c r="H4">
        <v>7</v>
      </c>
      <c r="I4">
        <v>16.215499999999999</v>
      </c>
      <c r="J4">
        <v>340.52550000000002</v>
      </c>
      <c r="K4" s="1">
        <v>43527</v>
      </c>
      <c r="L4" s="11">
        <v>0.55763888888888891</v>
      </c>
      <c r="M4" t="s">
        <v>33</v>
      </c>
      <c r="N4">
        <v>324.31</v>
      </c>
      <c r="O4">
        <v>4.7619047620000003</v>
      </c>
      <c r="P4">
        <v>16.215499999999999</v>
      </c>
      <c r="Q4">
        <v>7.4</v>
      </c>
      <c r="S4">
        <f>SUM(H:H)</f>
        <v>5510</v>
      </c>
    </row>
    <row r="5" spans="1:19" x14ac:dyDescent="0.3">
      <c r="A5" t="s">
        <v>34</v>
      </c>
      <c r="B5" t="s">
        <v>18</v>
      </c>
      <c r="C5" t="s">
        <v>19</v>
      </c>
      <c r="D5" t="s">
        <v>20</v>
      </c>
      <c r="E5" t="s">
        <v>31</v>
      </c>
      <c r="F5" t="s">
        <v>22</v>
      </c>
      <c r="G5">
        <v>58.22</v>
      </c>
      <c r="H5">
        <v>8</v>
      </c>
      <c r="I5">
        <v>23.288</v>
      </c>
      <c r="J5">
        <v>489.048</v>
      </c>
      <c r="K5" s="1">
        <v>43492</v>
      </c>
      <c r="L5" s="11">
        <v>0.85624999999999996</v>
      </c>
      <c r="M5" t="s">
        <v>23</v>
      </c>
      <c r="N5">
        <v>465.76</v>
      </c>
      <c r="O5">
        <v>4.7619047620000003</v>
      </c>
      <c r="P5">
        <v>23.288</v>
      </c>
      <c r="Q5">
        <v>8.4</v>
      </c>
      <c r="S5" s="4" t="s">
        <v>1041</v>
      </c>
    </row>
    <row r="6" spans="1:19" x14ac:dyDescent="0.3">
      <c r="A6" t="s">
        <v>35</v>
      </c>
      <c r="B6" t="s">
        <v>18</v>
      </c>
      <c r="C6" t="s">
        <v>19</v>
      </c>
      <c r="D6" t="s">
        <v>27</v>
      </c>
      <c r="E6" t="s">
        <v>31</v>
      </c>
      <c r="F6" t="s">
        <v>36</v>
      </c>
      <c r="G6">
        <v>86.31</v>
      </c>
      <c r="H6">
        <v>7</v>
      </c>
      <c r="I6">
        <v>30.208500000000001</v>
      </c>
      <c r="J6">
        <v>634.37850000000003</v>
      </c>
      <c r="K6" s="1">
        <v>43504</v>
      </c>
      <c r="L6" s="11">
        <v>0.44236111111111109</v>
      </c>
      <c r="M6" t="s">
        <v>23</v>
      </c>
      <c r="N6">
        <v>604.16999999999996</v>
      </c>
      <c r="O6">
        <v>4.7619047620000003</v>
      </c>
      <c r="P6">
        <v>30.208500000000001</v>
      </c>
      <c r="Q6">
        <v>5.3</v>
      </c>
      <c r="S6">
        <f>COUNTA(A:A)</f>
        <v>1001</v>
      </c>
    </row>
    <row r="7" spans="1:19" x14ac:dyDescent="0.3">
      <c r="A7" t="s">
        <v>37</v>
      </c>
      <c r="B7" t="s">
        <v>25</v>
      </c>
      <c r="C7" t="s">
        <v>26</v>
      </c>
      <c r="D7" t="s">
        <v>27</v>
      </c>
      <c r="E7" t="s">
        <v>31</v>
      </c>
      <c r="F7" t="s">
        <v>28</v>
      </c>
      <c r="G7">
        <v>85.39</v>
      </c>
      <c r="H7">
        <v>7</v>
      </c>
      <c r="I7">
        <v>29.886500000000002</v>
      </c>
      <c r="J7">
        <v>627.61649999999997</v>
      </c>
      <c r="K7" s="1">
        <v>43549</v>
      </c>
      <c r="L7" s="11">
        <v>0.77083333333333337</v>
      </c>
      <c r="M7" t="s">
        <v>23</v>
      </c>
      <c r="N7">
        <v>597.73</v>
      </c>
      <c r="O7">
        <v>4.7619047620000003</v>
      </c>
      <c r="P7">
        <v>29.886500000000002</v>
      </c>
      <c r="Q7">
        <v>4.0999999999999996</v>
      </c>
      <c r="S7" s="6" t="s">
        <v>1042</v>
      </c>
    </row>
    <row r="8" spans="1:19" x14ac:dyDescent="0.3">
      <c r="A8" t="s">
        <v>38</v>
      </c>
      <c r="B8" t="s">
        <v>18</v>
      </c>
      <c r="C8" t="s">
        <v>19</v>
      </c>
      <c r="D8" t="s">
        <v>20</v>
      </c>
      <c r="E8" t="s">
        <v>21</v>
      </c>
      <c r="F8" t="s">
        <v>28</v>
      </c>
      <c r="G8">
        <v>68.84</v>
      </c>
      <c r="H8">
        <v>6</v>
      </c>
      <c r="I8">
        <v>20.652000000000001</v>
      </c>
      <c r="J8">
        <v>433.69200000000001</v>
      </c>
      <c r="K8" s="1">
        <v>43521</v>
      </c>
      <c r="L8" s="11">
        <v>0.60833333333333328</v>
      </c>
      <c r="M8" t="s">
        <v>23</v>
      </c>
      <c r="N8">
        <v>413.04</v>
      </c>
      <c r="O8">
        <v>4.7619047620000003</v>
      </c>
      <c r="P8">
        <v>20.652000000000001</v>
      </c>
      <c r="Q8">
        <v>5.8</v>
      </c>
      <c r="S8">
        <f>AVERAGE(Q:Q)</f>
        <v>6.9727000000000032</v>
      </c>
    </row>
    <row r="9" spans="1:19" x14ac:dyDescent="0.3">
      <c r="A9" t="s">
        <v>39</v>
      </c>
      <c r="B9" t="s">
        <v>25</v>
      </c>
      <c r="C9" t="s">
        <v>26</v>
      </c>
      <c r="D9" t="s">
        <v>27</v>
      </c>
      <c r="E9" t="s">
        <v>21</v>
      </c>
      <c r="F9" t="s">
        <v>32</v>
      </c>
      <c r="G9">
        <v>73.56</v>
      </c>
      <c r="H9">
        <v>10</v>
      </c>
      <c r="I9">
        <v>36.78</v>
      </c>
      <c r="J9">
        <v>772.38</v>
      </c>
      <c r="K9" s="1">
        <v>43520</v>
      </c>
      <c r="L9" s="11">
        <v>0.48472222222222222</v>
      </c>
      <c r="M9" t="s">
        <v>23</v>
      </c>
      <c r="N9">
        <v>735.6</v>
      </c>
      <c r="O9">
        <v>4.7619047620000003</v>
      </c>
      <c r="P9">
        <v>36.78</v>
      </c>
      <c r="Q9">
        <v>8</v>
      </c>
      <c r="S9" s="5" t="s">
        <v>1043</v>
      </c>
    </row>
    <row r="10" spans="1:19" x14ac:dyDescent="0.3">
      <c r="A10" t="s">
        <v>40</v>
      </c>
      <c r="B10" t="s">
        <v>18</v>
      </c>
      <c r="C10" t="s">
        <v>19</v>
      </c>
      <c r="D10" t="s">
        <v>20</v>
      </c>
      <c r="E10" t="s">
        <v>21</v>
      </c>
      <c r="F10" t="s">
        <v>22</v>
      </c>
      <c r="G10">
        <v>36.26</v>
      </c>
      <c r="H10">
        <v>2</v>
      </c>
      <c r="I10">
        <v>3.6259999999999999</v>
      </c>
      <c r="J10">
        <v>76.146000000000001</v>
      </c>
      <c r="K10" s="1">
        <v>43475</v>
      </c>
      <c r="L10" s="11">
        <v>0.71875</v>
      </c>
      <c r="M10" t="s">
        <v>33</v>
      </c>
      <c r="N10">
        <v>72.52</v>
      </c>
      <c r="O10">
        <v>4.7619047620000003</v>
      </c>
      <c r="P10">
        <v>3.6259999999999999</v>
      </c>
      <c r="Q10">
        <v>7.2</v>
      </c>
      <c r="S10">
        <f>SUM(P:P)</f>
        <v>15379.369000000002</v>
      </c>
    </row>
    <row r="11" spans="1:19" x14ac:dyDescent="0.3">
      <c r="A11" t="s">
        <v>41</v>
      </c>
      <c r="B11" t="s">
        <v>42</v>
      </c>
      <c r="C11" t="s">
        <v>43</v>
      </c>
      <c r="D11" t="s">
        <v>20</v>
      </c>
      <c r="E11" t="s">
        <v>21</v>
      </c>
      <c r="F11" t="s">
        <v>44</v>
      </c>
      <c r="G11">
        <v>54.84</v>
      </c>
      <c r="H11">
        <v>3</v>
      </c>
      <c r="I11">
        <v>8.2260000000000009</v>
      </c>
      <c r="J11">
        <v>172.74600000000001</v>
      </c>
      <c r="K11" s="1">
        <v>43516</v>
      </c>
      <c r="L11" s="11">
        <v>0.56041666666666667</v>
      </c>
      <c r="M11" t="s">
        <v>33</v>
      </c>
      <c r="N11">
        <v>164.52</v>
      </c>
      <c r="O11">
        <v>4.7619047620000003</v>
      </c>
      <c r="P11">
        <v>8.2260000000000009</v>
      </c>
      <c r="Q11">
        <v>5.9</v>
      </c>
    </row>
    <row r="12" spans="1:19" x14ac:dyDescent="0.3">
      <c r="A12" t="s">
        <v>45</v>
      </c>
      <c r="B12" t="s">
        <v>42</v>
      </c>
      <c r="C12" t="s">
        <v>43</v>
      </c>
      <c r="D12" t="s">
        <v>20</v>
      </c>
      <c r="E12" t="s">
        <v>21</v>
      </c>
      <c r="F12" t="s">
        <v>46</v>
      </c>
      <c r="G12">
        <v>14.48</v>
      </c>
      <c r="H12">
        <v>4</v>
      </c>
      <c r="I12">
        <v>2.8959999999999999</v>
      </c>
      <c r="J12">
        <v>60.816000000000003</v>
      </c>
      <c r="K12" s="1">
        <v>43502</v>
      </c>
      <c r="L12" s="11">
        <v>0.75486111111111109</v>
      </c>
      <c r="M12" t="s">
        <v>23</v>
      </c>
      <c r="N12">
        <v>57.92</v>
      </c>
      <c r="O12">
        <v>4.7619047620000003</v>
      </c>
      <c r="P12">
        <v>2.8959999999999999</v>
      </c>
      <c r="Q12">
        <v>4.5</v>
      </c>
    </row>
    <row r="13" spans="1:19" x14ac:dyDescent="0.3">
      <c r="A13" t="s">
        <v>47</v>
      </c>
      <c r="B13" t="s">
        <v>42</v>
      </c>
      <c r="C13" t="s">
        <v>43</v>
      </c>
      <c r="D13" t="s">
        <v>20</v>
      </c>
      <c r="E13" t="s">
        <v>31</v>
      </c>
      <c r="F13" t="s">
        <v>28</v>
      </c>
      <c r="G13">
        <v>25.51</v>
      </c>
      <c r="H13">
        <v>4</v>
      </c>
      <c r="I13">
        <v>5.1020000000000003</v>
      </c>
      <c r="J13">
        <v>107.142</v>
      </c>
      <c r="K13" s="1">
        <v>43533</v>
      </c>
      <c r="L13" s="11">
        <v>0.7104166666666667</v>
      </c>
      <c r="M13" t="s">
        <v>29</v>
      </c>
      <c r="N13">
        <v>102.04</v>
      </c>
      <c r="O13">
        <v>4.7619047620000003</v>
      </c>
      <c r="P13">
        <v>5.1020000000000003</v>
      </c>
      <c r="Q13">
        <v>6.8</v>
      </c>
    </row>
    <row r="14" spans="1:19" x14ac:dyDescent="0.3">
      <c r="A14" t="s">
        <v>48</v>
      </c>
      <c r="B14" t="s">
        <v>18</v>
      </c>
      <c r="C14" t="s">
        <v>19</v>
      </c>
      <c r="D14" t="s">
        <v>27</v>
      </c>
      <c r="E14" t="s">
        <v>21</v>
      </c>
      <c r="F14" t="s">
        <v>28</v>
      </c>
      <c r="G14">
        <v>46.95</v>
      </c>
      <c r="H14">
        <v>5</v>
      </c>
      <c r="I14">
        <v>11.737500000000001</v>
      </c>
      <c r="J14">
        <v>246.48750000000001</v>
      </c>
      <c r="K14" s="1">
        <v>43508</v>
      </c>
      <c r="L14" s="11">
        <v>0.43402777777777779</v>
      </c>
      <c r="M14" t="s">
        <v>23</v>
      </c>
      <c r="N14">
        <v>234.75</v>
      </c>
      <c r="O14">
        <v>4.7619047620000003</v>
      </c>
      <c r="P14">
        <v>11.737500000000001</v>
      </c>
      <c r="Q14">
        <v>7.1</v>
      </c>
    </row>
    <row r="15" spans="1:19" x14ac:dyDescent="0.3">
      <c r="A15" t="s">
        <v>49</v>
      </c>
      <c r="B15" t="s">
        <v>18</v>
      </c>
      <c r="C15" t="s">
        <v>19</v>
      </c>
      <c r="D15" t="s">
        <v>27</v>
      </c>
      <c r="E15" t="s">
        <v>31</v>
      </c>
      <c r="F15" t="s">
        <v>44</v>
      </c>
      <c r="G15">
        <v>43.19</v>
      </c>
      <c r="H15">
        <v>10</v>
      </c>
      <c r="I15">
        <v>21.594999999999999</v>
      </c>
      <c r="J15">
        <v>453.495</v>
      </c>
      <c r="K15" s="1">
        <v>43503</v>
      </c>
      <c r="L15" s="11">
        <v>0.7</v>
      </c>
      <c r="M15" t="s">
        <v>23</v>
      </c>
      <c r="N15">
        <v>431.9</v>
      </c>
      <c r="O15">
        <v>4.7619047620000003</v>
      </c>
      <c r="P15">
        <v>21.594999999999999</v>
      </c>
      <c r="Q15">
        <v>8.1999999999999993</v>
      </c>
    </row>
    <row r="16" spans="1:19" x14ac:dyDescent="0.3">
      <c r="A16" t="s">
        <v>50</v>
      </c>
      <c r="B16" t="s">
        <v>18</v>
      </c>
      <c r="C16" t="s">
        <v>19</v>
      </c>
      <c r="D16" t="s">
        <v>27</v>
      </c>
      <c r="E16" t="s">
        <v>21</v>
      </c>
      <c r="F16" t="s">
        <v>22</v>
      </c>
      <c r="G16">
        <v>71.38</v>
      </c>
      <c r="H16">
        <v>10</v>
      </c>
      <c r="I16">
        <v>35.69</v>
      </c>
      <c r="J16">
        <v>749.49</v>
      </c>
      <c r="K16" s="1">
        <v>43553</v>
      </c>
      <c r="L16" s="11">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11">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11">
        <v>0.46041666666666664</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11">
        <v>0.44374999999999998</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11">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11">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11">
        <v>0.47499999999999998</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11">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11">
        <v>0.51388888888888884</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11">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11">
        <v>0.73333333333333328</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11">
        <v>0.80555555555555558</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11">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11">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11">
        <v>0.82499999999999996</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11">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11">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11">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11">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11">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11">
        <v>0.44583333333333336</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11">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11">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11">
        <v>0.72013888888888888</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11">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11">
        <v>0.54236111111111107</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11">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11">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11">
        <v>0.54374999999999996</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11">
        <v>0.86041666666666672</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11">
        <v>0.82430555555555551</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11">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11">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11">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11">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11">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11">
        <v>0.42986111111111114</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11">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11">
        <v>0.61250000000000004</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11">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11">
        <v>0.49236111111111114</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11">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11">
        <v>0.47638888888888886</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11">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11">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11">
        <v>0.85833333333333328</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11">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11">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11">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11">
        <v>0.51875000000000004</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11">
        <v>0.60763888888888884</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11">
        <v>0.69444444444444442</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11">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11">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11">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11">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11">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11">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11">
        <v>0.76180555555555551</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11">
        <v>0.76458333333333328</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11">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11">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11">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11">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11">
        <v>0.68333333333333335</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11">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11">
        <v>0.61250000000000004</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11">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11">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11">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11">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11">
        <v>0.60486111111111107</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11">
        <v>0.43263888888888891</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11">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11">
        <v>0.70625000000000004</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11">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11">
        <v>0.43402777777777779</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11">
        <v>0.82916666666666672</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11">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11">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11">
        <v>0.83680555555555558</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11">
        <v>0.85972222222222228</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11">
        <v>0.43402777777777779</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11">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11">
        <v>0.42777777777777776</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11">
        <v>0.75972222222222219</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11">
        <v>0.80555555555555558</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11">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11">
        <v>0.47708333333333336</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11">
        <v>0.69722222222222219</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11">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11">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11">
        <v>0.87083333333333335</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11">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11">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11">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11">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11">
        <v>0.44513888888888886</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11">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11">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11">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11">
        <v>0.54236111111111107</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11">
        <v>0.52013888888888893</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11">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11">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11">
        <v>0.85972222222222228</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11">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11">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11">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11">
        <v>0.82777777777777772</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11">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11">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11">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11">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11">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11">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11">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11">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11">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11">
        <v>0.61111111111111116</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11">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11">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11">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11">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11">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11">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11">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11">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11">
        <v>0.83125000000000004</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11">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11">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11">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11">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11">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11">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11">
        <v>0.57499999999999996</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11">
        <v>0.80555555555555558</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11">
        <v>0.67152777777777772</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11">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11">
        <v>0.76597222222222228</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11">
        <v>0.54513888888888884</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11">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11">
        <v>0.81944444444444442</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11">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11">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11">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11">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11">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11">
        <v>0.82222222222222219</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11">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11">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11">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11">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11">
        <v>0.68055555555555558</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11">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11">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11">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11">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11">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11">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11">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11">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11">
        <v>0.70902777777777781</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11">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11">
        <v>0.80277777777777781</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11">
        <v>0.69930555555555551</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11">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11">
        <v>0.49375000000000002</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11">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11">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11">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11">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11">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11">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11">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11">
        <v>0.86805555555555558</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11">
        <v>0.44374999999999998</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11">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11">
        <v>0.79722222222222228</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11">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11">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11">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11">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11">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11">
        <v>0.83194444444444449</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11">
        <v>0.83125000000000004</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11">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11">
        <v>0.49791666666666667</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11">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11">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11">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11">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11">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11">
        <v>0.73472222222222228</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11">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11">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11">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11">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11">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11">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11">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11">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11">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11">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11">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11">
        <v>0.79097222222222219</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11">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11">
        <v>0.57361111111111107</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11">
        <v>0.75416666666666665</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11">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11">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11">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11">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11">
        <v>0.68333333333333335</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11">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11">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11">
        <v>0.81111111111111112</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11">
        <v>0.57777777777777772</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11">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11">
        <v>0.77152777777777781</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11">
        <v>0.76666666666666672</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11">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11">
        <v>0.63611111111111107</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11">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11">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11">
        <v>0.47222222222222221</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11">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11">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11">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11">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11">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11">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11">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11">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11">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11">
        <v>0.79583333333333328</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11">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11">
        <v>0.79583333333333328</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11">
        <v>0.82222222222222219</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11">
        <v>0.47361111111111109</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11">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11">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11">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11">
        <v>0.42777777777777776</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11">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11">
        <v>0.54513888888888884</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11">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11">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11">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11">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11">
        <v>0.80833333333333335</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11">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11">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11">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11">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11">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11">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11">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11">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11">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11">
        <v>0.70277777777777772</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11">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11">
        <v>0.73333333333333328</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11">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11">
        <v>0.68611111111111112</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11">
        <v>0.83125000000000004</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11">
        <v>0.70902777777777781</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11">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11">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11">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11">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11">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11">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11">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11">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11">
        <v>0.60972222222222228</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11">
        <v>0.73402777777777772</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11">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11">
        <v>0.85347222222222219</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11">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11">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11">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11">
        <v>0.61388888888888893</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11">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11">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11">
        <v>0.43125000000000002</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11">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11">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11">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11">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11">
        <v>0.52013888888888893</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11">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11">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11">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11">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11">
        <v>0.73819444444444449</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11">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11">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11">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11">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11">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11">
        <v>0.72847222222222219</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11">
        <v>0.43402777777777779</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11">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11">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11">
        <v>0.68611111111111112</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11">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11">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11">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11">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11">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11">
        <v>0.82847222222222228</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11">
        <v>0.79791666666666672</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11">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11">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11">
        <v>0.54652777777777772</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11">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11">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11">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11">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11">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11">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11">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11">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11">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11">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11">
        <v>0.76597222222222228</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11">
        <v>0.79583333333333328</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11">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11">
        <v>0.68333333333333335</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11">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11">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11">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11">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11">
        <v>0.73472222222222228</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11">
        <v>0.46250000000000002</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11">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11">
        <v>0.76527777777777772</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11">
        <v>0.79305555555555551</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11">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11">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11">
        <v>0.51388888888888884</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11">
        <v>0.83402777777777781</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11">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11">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11">
        <v>0.70694444444444449</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11">
        <v>0.46666666666666667</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11">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11">
        <v>0.85902777777777772</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11">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11">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11">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11">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11">
        <v>0.43680555555555556</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11">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11">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11">
        <v>0.81944444444444442</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11">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11">
        <v>0.74583333333333335</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11">
        <v>0.51736111111111116</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11">
        <v>0.69930555555555551</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11">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11">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11">
        <v>0.76180555555555551</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11">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11">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11">
        <v>0.44236111111111109</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11">
        <v>0.60763888888888884</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11">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11">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11">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11">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11">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11">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11">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11">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11">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11">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11">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11">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11">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11">
        <v>0.85833333333333328</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11">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11">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11">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11">
        <v>0.68611111111111112</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11">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11">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11">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11">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11">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11">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11">
        <v>0.79652777777777772</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11">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11">
        <v>0.82499999999999996</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11">
        <v>0.80833333333333335</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11">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11">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11">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11">
        <v>0.78819444444444442</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11">
        <v>0.81666666666666665</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11">
        <v>0.68611111111111112</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11">
        <v>0.57499999999999996</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11">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11">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11">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11">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11">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11">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11">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11">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11">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11">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11">
        <v>0.57847222222222228</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11">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11">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11">
        <v>0.82499999999999996</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11">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11">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11">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11">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11">
        <v>0.79791666666666672</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11">
        <v>0.70208333333333328</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11">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11">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11">
        <v>0.60972222222222228</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11">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11">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11">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11">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11">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11">
        <v>0.74861111111111112</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11">
        <v>0.47638888888888886</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11">
        <v>0.73472222222222228</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11">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11">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11">
        <v>0.79652777777777772</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11">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11">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11">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11">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11">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11">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11">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11">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11">
        <v>0.70277777777777772</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11">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11">
        <v>0.51736111111111116</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11">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11">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11">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11">
        <v>0.47361111111111109</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11">
        <v>0.55000000000000004</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11">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11">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11">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11">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11">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11">
        <v>0.77152777777777781</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11">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11">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11">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11">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11">
        <v>0.70416666666666672</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11">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11">
        <v>0.47638888888888886</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11">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11">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11">
        <v>0.54513888888888884</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11">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11">
        <v>0.82499999999999996</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11">
        <v>0.64236111111111116</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11">
        <v>0.61250000000000004</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11">
        <v>0.79097222222222219</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11">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11">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11">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11">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11">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11">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11">
        <v>0.49166666666666664</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11">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11">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11">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11">
        <v>0.73333333333333328</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11">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11">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11">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11">
        <v>0.82499999999999996</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11">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11">
        <v>0.69166666666666665</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11">
        <v>0.87083333333333335</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11">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11">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11">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11">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11">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11">
        <v>0.72847222222222219</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11">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11">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11">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11">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11">
        <v>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11">
        <v>0.86527777777777781</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11">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11">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11">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11">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11">
        <v>0.57986111111111116</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11">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11">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11">
        <v>0.66874999999999996</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11">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11">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11">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11">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11">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11">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11">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11">
        <v>0.43819444444444444</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11">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11">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11">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11">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11">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11">
        <v>0.77986111111111112</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11">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11">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11">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11">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11">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11">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11">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11">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11">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11">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11">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11">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11">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11">
        <v>0.43263888888888891</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11">
        <v>0.78541666666666665</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11">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11">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11">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11">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11">
        <v>0.70416666666666672</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11">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11">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11">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11">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11">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11">
        <v>0.54236111111111107</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11">
        <v>0.69444444444444442</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11">
        <v>0.57986111111111116</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11">
        <v>0.43958333333333333</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11">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11">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11">
        <v>0.49166666666666664</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11">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11">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11">
        <v>0.60624999999999996</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11">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11">
        <v>0.77986111111111112</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11">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11">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11">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11">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11">
        <v>0.82916666666666672</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11">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11">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11">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11">
        <v>0.57847222222222228</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11">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11">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11">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11">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11">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11">
        <v>0.73472222222222228</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11">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11">
        <v>0.49375000000000002</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11">
        <v>0.54513888888888884</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11">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11">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11">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11">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11">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11">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11">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11">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11">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11">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11">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11">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11">
        <v>0.80277777777777781</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11">
        <v>0.51388888888888884</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11">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11">
        <v>0.42916666666666664</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11">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11">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11">
        <v>0.67222222222222228</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11">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11">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11">
        <v>0.82708333333333328</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11">
        <v>0.75694444444444442</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11">
        <v>0.47361111111111109</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11">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11">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11">
        <v>0.82222222222222219</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11">
        <v>0.64375000000000004</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11">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11">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11">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11">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11">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11">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11">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11">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11">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11">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11">
        <v>0.47847222222222224</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11">
        <v>0.81111111111111112</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11">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11">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11">
        <v>0.51111111111111107</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11">
        <v>0.64375000000000004</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11">
        <v>0.73333333333333328</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11">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11">
        <v>0.64513888888888893</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11">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11">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11">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11">
        <v>0.77986111111111112</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11">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11">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11">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11">
        <v>0.69722222222222219</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11">
        <v>0.76527777777777772</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11">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11">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11">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11">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11">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11">
        <v>0.43263888888888891</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11">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11">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11">
        <v>0.74027777777777781</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11">
        <v>0.49027777777777776</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11">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11">
        <v>0.75972222222222219</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11">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11">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11">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11">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11">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11">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11">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11">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11">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11">
        <v>0.54861111111111116</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11">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11">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11">
        <v>0.83125000000000004</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11">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11">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11">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11">
        <v>0.58125000000000004</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11">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11">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11">
        <v>0.57361111111111107</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11">
        <v>0.51527777777777772</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11">
        <v>0.80555555555555558</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11">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11">
        <v>0.49930555555555556</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11">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11">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11">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11">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11">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11">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11">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11">
        <v>0.61250000000000004</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11">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11">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11">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11">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11">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11">
        <v>0.51597222222222228</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11">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11">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11">
        <v>0.47083333333333333</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11">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11">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11">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11">
        <v>0.84236111111111112</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11">
        <v>0.85902777777777772</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11">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11">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11">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11">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11">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11">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11">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11">
        <v>0.67083333333333328</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11">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11">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11">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11">
        <v>0.86250000000000004</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11">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11">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11">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11">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11">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11">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11">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11">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11">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11">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11">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11">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11">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11">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11">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11">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11">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11">
        <v>0.76527777777777772</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11">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11">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11">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11">
        <v>0.60624999999999996</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11">
        <v>0.64513888888888893</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11">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11">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11">
        <v>0.79652777777777772</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11">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11">
        <v>0.81111111111111112</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11">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11">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11">
        <v>0.43819444444444444</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11">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11">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11">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11">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11">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11">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11">
        <v>0.76666666666666672</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11">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11">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11">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11">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11">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11">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11">
        <v>0.81944444444444442</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11">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11">
        <v>0.58263888888888893</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11">
        <v>0.78541666666666665</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11">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11">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11">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11">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11">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11">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11">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11">
        <v>0.75138888888888888</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11">
        <v>0.54652777777777772</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11">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11">
        <v>0.85555555555555551</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11">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11">
        <v>0.67083333333333328</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11">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11">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11">
        <v>0.54722222222222228</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11">
        <v>0.67291666666666672</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11">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11">
        <v>0.42916666666666664</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11">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11">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11">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11">
        <v>0.84791666666666665</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11">
        <v>0.57499999999999996</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11">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11">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11">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11">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11">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11">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11">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11">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11">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11">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11">
        <v>0.47708333333333336</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11">
        <v>0.46666666666666667</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11">
        <v>0.69166666666666665</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11">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11">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11">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11">
        <v>0.43958333333333333</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11">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11">
        <v>0.75416666666666665</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11">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11">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11">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11">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11">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11">
        <v>0.85347222222222219</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11">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11">
        <v>0.60763888888888884</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11">
        <v>0.68888888888888888</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11">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11">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11">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11">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11">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11">
        <v>0.57847222222222228</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11">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11">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11">
        <v>0.61250000000000004</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11">
        <v>0.73819444444444449</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11">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11">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11">
        <v>0.61250000000000004</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11">
        <v>0.45902777777777776</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11">
        <v>0.82222222222222219</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11">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11">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11">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11">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11">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11">
        <v>0.73472222222222228</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11">
        <v>0.67777777777777781</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11">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11">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11">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11">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11">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11">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11">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11">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11">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11">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11">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11">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11">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11">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11">
        <v>0.77430555555555558</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11">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11">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11">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11">
        <v>0.75416666666666665</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11">
        <v>0.49652777777777779</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11">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11">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11">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11">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11">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11">
        <v>0.79791666666666672</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11">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11">
        <v>0.43958333333333333</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11">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11">
        <v>0.49375000000000002</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11">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11">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11">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11">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11">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11">
        <v>0.67222222222222228</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11">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11">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11">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11">
        <v>0.63749999999999996</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11">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11">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11">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11">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11">
        <v>0.55138888888888893</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11">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11">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11">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11">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11">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11">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11">
        <v>0.63611111111111107</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11">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11">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11">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11">
        <v>0.57638888888888884</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11">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11">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11">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11">
        <v>0.84791666666666665</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11">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11">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11">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11">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11">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11">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11">
        <v>0.44722222222222224</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11">
        <v>0.85347222222222219</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11">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11">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11">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11">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11">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11">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11">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11">
        <v>0.47638888888888886</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11">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11">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11">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11">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11">
        <v>0.43819444444444444</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11">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11">
        <v>0.46527777777777779</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11">
        <v>0.73472222222222228</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11">
        <v>0.74583333333333335</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11">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11">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11">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11">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11">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11">
        <v>0.51875000000000004</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11">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11">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11">
        <v>0.82499999999999996</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11">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11">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11">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11">
        <v>0.75972222222222219</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11">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11">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11">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11">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11">
        <v>0.49375000000000002</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11">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11">
        <v>0.84236111111111112</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11">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11">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11">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11">
        <v>0.77986111111111112</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11">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11">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11">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11">
        <v>0.49375000000000002</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11">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11">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11">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11">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11">
        <v>0.64513888888888893</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11">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11">
        <v>0.64097222222222228</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11">
        <v>0.85902777777777772</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11">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11">
        <v>0.76249999999999996</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11">
        <v>0.64375000000000004</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11">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11">
        <v>0.75138888888888888</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11">
        <v>0.82222222222222219</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11">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11">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11">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11">
        <v>0.64513888888888893</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11">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11">
        <v>0.49652777777777779</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11">
        <v>0.44374999999999998</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11">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11">
        <v>0.75694444444444442</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11">
        <v>0.86319444444444449</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11">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11">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11">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11">
        <v>0.43958333333333333</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11">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11">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11">
        <v>0.61250000000000004</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11">
        <v>0.79722222222222228</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11">
        <v>0.8</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11">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11">
        <v>0.79583333333333328</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11">
        <v>0.75694444444444442</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11">
        <v>0.86527777777777781</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11">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11">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11">
        <v>0.57361111111111107</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11">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11">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11">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11">
        <v>0.56111111111111112</v>
      </c>
      <c r="M1001" t="s">
        <v>29</v>
      </c>
      <c r="N1001">
        <v>618.38</v>
      </c>
      <c r="O1001">
        <v>4.7619047620000003</v>
      </c>
      <c r="P1001">
        <v>30.919</v>
      </c>
      <c r="Q100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3026-1077-4067-A107-03E097E96299}">
  <dimension ref="A2:T116"/>
  <sheetViews>
    <sheetView showGridLines="0" showRowColHeaders="0" topLeftCell="A6" zoomScale="68" workbookViewId="0">
      <selection activeCell="X41" sqref="X41"/>
    </sheetView>
  </sheetViews>
  <sheetFormatPr defaultRowHeight="14.4" x14ac:dyDescent="0.3"/>
  <cols>
    <col min="1" max="1" width="20" bestFit="1" customWidth="1"/>
    <col min="2" max="2" width="18.6640625" bestFit="1" customWidth="1"/>
    <col min="3" max="3" width="17.33203125" bestFit="1" customWidth="1"/>
    <col min="4" max="7" width="6" bestFit="1" customWidth="1"/>
    <col min="8" max="8" width="7" bestFit="1" customWidth="1"/>
    <col min="9" max="10" width="6" bestFit="1" customWidth="1"/>
    <col min="11" max="11" width="7" bestFit="1" customWidth="1"/>
    <col min="12" max="12" width="6" bestFit="1" customWidth="1"/>
    <col min="13" max="14" width="7" bestFit="1" customWidth="1"/>
    <col min="15" max="18" width="6" bestFit="1" customWidth="1"/>
    <col min="19" max="19" width="20" bestFit="1" customWidth="1"/>
    <col min="20" max="20" width="11.6640625" bestFit="1" customWidth="1"/>
    <col min="21" max="21" width="6" bestFit="1" customWidth="1"/>
    <col min="22" max="22" width="5" bestFit="1" customWidth="1"/>
    <col min="23" max="24" width="7" bestFit="1" customWidth="1"/>
    <col min="25" max="26" width="6" bestFit="1" customWidth="1"/>
    <col min="27" max="27" width="7" bestFit="1" customWidth="1"/>
    <col min="28" max="32" width="6" bestFit="1" customWidth="1"/>
    <col min="33" max="34" width="7" bestFit="1" customWidth="1"/>
    <col min="35" max="37" width="6" bestFit="1" customWidth="1"/>
    <col min="38" max="38" width="7" bestFit="1" customWidth="1"/>
    <col min="39" max="43" width="6" bestFit="1" customWidth="1"/>
    <col min="44" max="45" width="7" bestFit="1" customWidth="1"/>
    <col min="46" max="46" width="6" bestFit="1" customWidth="1"/>
    <col min="47" max="47" width="7" bestFit="1" customWidth="1"/>
    <col min="48" max="48" width="5" bestFit="1" customWidth="1"/>
    <col min="49" max="49" width="6" bestFit="1" customWidth="1"/>
    <col min="50" max="50" width="5" bestFit="1" customWidth="1"/>
    <col min="51" max="51" width="7" bestFit="1" customWidth="1"/>
    <col min="52" max="54" width="6" bestFit="1" customWidth="1"/>
    <col min="55" max="56" width="7" bestFit="1" customWidth="1"/>
    <col min="57" max="58" width="6" bestFit="1" customWidth="1"/>
    <col min="59" max="60" width="7" bestFit="1" customWidth="1"/>
    <col min="61" max="64" width="6" bestFit="1" customWidth="1"/>
    <col min="65" max="65" width="5" bestFit="1" customWidth="1"/>
    <col min="66" max="66" width="7" bestFit="1" customWidth="1"/>
    <col min="67" max="67" width="6" bestFit="1" customWidth="1"/>
    <col min="68" max="68" width="7" bestFit="1" customWidth="1"/>
    <col min="69" max="69" width="5" bestFit="1" customWidth="1"/>
    <col min="70" max="70" width="6" bestFit="1" customWidth="1"/>
    <col min="71" max="72" width="7" bestFit="1" customWidth="1"/>
    <col min="73" max="73" width="6" bestFit="1" customWidth="1"/>
    <col min="74" max="74" width="5" bestFit="1" customWidth="1"/>
    <col min="75" max="75" width="6" bestFit="1" customWidth="1"/>
    <col min="76" max="77" width="7" bestFit="1" customWidth="1"/>
    <col min="78" max="79" width="6" bestFit="1" customWidth="1"/>
    <col min="80" max="80" width="7" bestFit="1" customWidth="1"/>
    <col min="81" max="81" width="6" bestFit="1" customWidth="1"/>
    <col min="82" max="82" width="7" bestFit="1" customWidth="1"/>
    <col min="83" max="86" width="6" bestFit="1" customWidth="1"/>
    <col min="87" max="88" width="7" bestFit="1" customWidth="1"/>
    <col min="89" max="89" width="6" bestFit="1" customWidth="1"/>
    <col min="90" max="90" width="7" bestFit="1" customWidth="1"/>
    <col min="91" max="92" width="6" bestFit="1" customWidth="1"/>
    <col min="93" max="94" width="7" bestFit="1" customWidth="1"/>
    <col min="95" max="95" width="6" bestFit="1" customWidth="1"/>
    <col min="96" max="97" width="7" bestFit="1" customWidth="1"/>
    <col min="98" max="98" width="6" bestFit="1" customWidth="1"/>
    <col min="99" max="99" width="7" bestFit="1" customWidth="1"/>
    <col min="100" max="100" width="6" bestFit="1" customWidth="1"/>
    <col min="101" max="102" width="7" bestFit="1" customWidth="1"/>
    <col min="103" max="103" width="6" bestFit="1" customWidth="1"/>
    <col min="104" max="104" width="5" bestFit="1" customWidth="1"/>
    <col min="105" max="106" width="6" bestFit="1" customWidth="1"/>
    <col min="107" max="107" width="7" bestFit="1" customWidth="1"/>
    <col min="108" max="108" width="5" bestFit="1" customWidth="1"/>
    <col min="109" max="110" width="6" bestFit="1" customWidth="1"/>
    <col min="111" max="111" width="7" bestFit="1" customWidth="1"/>
    <col min="112" max="114" width="6" bestFit="1" customWidth="1"/>
    <col min="115" max="115" width="7" bestFit="1" customWidth="1"/>
    <col min="116" max="116" width="6" bestFit="1" customWidth="1"/>
    <col min="117" max="117" width="5" bestFit="1" customWidth="1"/>
    <col min="118" max="119" width="6" bestFit="1" customWidth="1"/>
    <col min="120" max="121" width="7" bestFit="1" customWidth="1"/>
    <col min="122" max="122" width="5" bestFit="1" customWidth="1"/>
    <col min="123" max="124" width="6" bestFit="1" customWidth="1"/>
    <col min="125" max="126" width="7" bestFit="1" customWidth="1"/>
    <col min="127" max="129" width="6" bestFit="1" customWidth="1"/>
    <col min="130" max="130" width="7" bestFit="1" customWidth="1"/>
    <col min="131" max="134" width="6" bestFit="1" customWidth="1"/>
    <col min="135" max="136" width="7" bestFit="1" customWidth="1"/>
    <col min="137" max="138" width="6" bestFit="1" customWidth="1"/>
    <col min="139" max="139" width="7" bestFit="1" customWidth="1"/>
    <col min="140" max="141" width="6" bestFit="1" customWidth="1"/>
    <col min="142" max="142" width="7" bestFit="1" customWidth="1"/>
    <col min="143" max="145" width="6" bestFit="1" customWidth="1"/>
    <col min="146" max="146" width="5" bestFit="1" customWidth="1"/>
    <col min="147" max="154" width="6" bestFit="1" customWidth="1"/>
    <col min="155" max="155" width="5" bestFit="1" customWidth="1"/>
    <col min="156" max="156" width="7" bestFit="1" customWidth="1"/>
    <col min="157" max="157" width="6" bestFit="1" customWidth="1"/>
    <col min="158" max="158" width="7" bestFit="1" customWidth="1"/>
    <col min="159" max="161" width="6" bestFit="1" customWidth="1"/>
    <col min="162" max="162" width="7" bestFit="1" customWidth="1"/>
    <col min="163" max="168" width="6" bestFit="1" customWidth="1"/>
    <col min="169" max="169" width="7" bestFit="1" customWidth="1"/>
    <col min="170" max="170" width="4" bestFit="1" customWidth="1"/>
    <col min="171" max="171" width="7" bestFit="1" customWidth="1"/>
    <col min="172" max="175" width="6" bestFit="1" customWidth="1"/>
    <col min="176" max="176" width="7" bestFit="1" customWidth="1"/>
    <col min="177" max="178" width="5" bestFit="1" customWidth="1"/>
    <col min="179" max="179" width="7" bestFit="1" customWidth="1"/>
    <col min="180" max="181" width="6" bestFit="1" customWidth="1"/>
    <col min="182" max="185" width="7" bestFit="1" customWidth="1"/>
    <col min="186" max="186" width="6" bestFit="1" customWidth="1"/>
    <col min="187" max="187" width="7" bestFit="1" customWidth="1"/>
    <col min="188" max="188" width="6" bestFit="1" customWidth="1"/>
    <col min="189" max="189" width="7" bestFit="1" customWidth="1"/>
    <col min="190" max="190" width="6" bestFit="1" customWidth="1"/>
    <col min="191" max="192" width="7" bestFit="1" customWidth="1"/>
    <col min="193" max="193" width="6" bestFit="1" customWidth="1"/>
    <col min="194" max="194" width="7" bestFit="1" customWidth="1"/>
    <col min="195" max="195" width="6" bestFit="1" customWidth="1"/>
    <col min="196" max="196" width="7" bestFit="1" customWidth="1"/>
    <col min="197" max="203" width="6" bestFit="1" customWidth="1"/>
    <col min="204" max="206" width="5" bestFit="1" customWidth="1"/>
    <col min="207" max="207" width="7" bestFit="1" customWidth="1"/>
    <col min="208" max="209" width="6" bestFit="1" customWidth="1"/>
    <col min="210" max="210" width="7" bestFit="1" customWidth="1"/>
    <col min="211" max="211" width="5" bestFit="1" customWidth="1"/>
    <col min="212" max="215" width="6" bestFit="1" customWidth="1"/>
    <col min="216" max="216" width="7" bestFit="1" customWidth="1"/>
    <col min="217" max="217" width="5" bestFit="1" customWidth="1"/>
    <col min="218" max="221" width="6" bestFit="1" customWidth="1"/>
    <col min="222" max="222" width="7" bestFit="1" customWidth="1"/>
    <col min="223" max="223" width="6" bestFit="1" customWidth="1"/>
    <col min="224" max="224" width="7" bestFit="1" customWidth="1"/>
    <col min="225" max="227" width="6" bestFit="1" customWidth="1"/>
    <col min="228" max="228" width="5" bestFit="1" customWidth="1"/>
    <col min="229" max="229" width="7" bestFit="1" customWidth="1"/>
    <col min="230" max="232" width="6" bestFit="1" customWidth="1"/>
    <col min="233" max="233" width="5" bestFit="1" customWidth="1"/>
    <col min="234" max="234" width="6" bestFit="1" customWidth="1"/>
    <col min="235" max="235" width="7" bestFit="1" customWidth="1"/>
    <col min="236" max="245" width="6" bestFit="1" customWidth="1"/>
    <col min="246" max="246" width="5" bestFit="1" customWidth="1"/>
    <col min="247" max="248" width="6" bestFit="1" customWidth="1"/>
    <col min="249" max="249" width="7" bestFit="1" customWidth="1"/>
    <col min="250" max="253" width="6" bestFit="1" customWidth="1"/>
    <col min="254" max="254" width="7" bestFit="1" customWidth="1"/>
    <col min="255" max="255" width="6" bestFit="1" customWidth="1"/>
    <col min="256" max="256" width="5" bestFit="1" customWidth="1"/>
    <col min="257" max="258" width="6" bestFit="1" customWidth="1"/>
    <col min="259" max="259" width="7" bestFit="1" customWidth="1"/>
    <col min="260" max="260" width="6" bestFit="1" customWidth="1"/>
    <col min="261" max="262" width="7" bestFit="1" customWidth="1"/>
    <col min="263" max="265" width="6" bestFit="1" customWidth="1"/>
    <col min="266" max="266" width="7" bestFit="1" customWidth="1"/>
    <col min="267" max="267" width="6" bestFit="1" customWidth="1"/>
    <col min="268" max="268" width="5" bestFit="1" customWidth="1"/>
    <col min="269" max="270" width="6" bestFit="1" customWidth="1"/>
    <col min="271" max="271" width="7" bestFit="1" customWidth="1"/>
    <col min="272" max="272" width="5" bestFit="1" customWidth="1"/>
    <col min="273" max="276" width="6" bestFit="1" customWidth="1"/>
    <col min="277" max="277" width="7" bestFit="1" customWidth="1"/>
    <col min="278" max="281" width="6" bestFit="1" customWidth="1"/>
    <col min="282" max="282" width="7" bestFit="1" customWidth="1"/>
    <col min="283" max="283" width="5" bestFit="1" customWidth="1"/>
    <col min="284" max="285" width="6" bestFit="1" customWidth="1"/>
    <col min="286" max="286" width="5" bestFit="1" customWidth="1"/>
    <col min="287" max="287" width="7" bestFit="1" customWidth="1"/>
    <col min="288" max="291" width="6" bestFit="1" customWidth="1"/>
    <col min="292" max="292" width="7" bestFit="1" customWidth="1"/>
    <col min="293" max="293" width="6" bestFit="1" customWidth="1"/>
    <col min="294" max="294" width="5" bestFit="1" customWidth="1"/>
    <col min="295" max="297" width="6" bestFit="1" customWidth="1"/>
    <col min="298" max="299" width="7" bestFit="1" customWidth="1"/>
    <col min="300" max="301" width="6" bestFit="1" customWidth="1"/>
    <col min="302" max="302" width="5" bestFit="1" customWidth="1"/>
    <col min="303" max="304" width="6" bestFit="1" customWidth="1"/>
    <col min="305" max="306" width="7" bestFit="1" customWidth="1"/>
    <col min="307" max="307" width="6" bestFit="1" customWidth="1"/>
    <col min="308" max="308" width="5" bestFit="1" customWidth="1"/>
    <col min="309" max="309" width="6" bestFit="1" customWidth="1"/>
    <col min="310" max="310" width="7" bestFit="1" customWidth="1"/>
    <col min="311" max="316" width="6" bestFit="1" customWidth="1"/>
    <col min="317" max="317" width="7" bestFit="1" customWidth="1"/>
    <col min="318" max="318" width="6" bestFit="1" customWidth="1"/>
    <col min="319" max="319" width="5" bestFit="1" customWidth="1"/>
    <col min="320" max="320" width="6" bestFit="1" customWidth="1"/>
    <col min="321" max="321" width="5" bestFit="1" customWidth="1"/>
    <col min="322" max="322" width="6" bestFit="1" customWidth="1"/>
    <col min="323" max="324" width="5" bestFit="1" customWidth="1"/>
    <col min="325" max="325" width="6" bestFit="1" customWidth="1"/>
    <col min="326" max="326" width="4" bestFit="1" customWidth="1"/>
    <col min="327" max="327" width="5" bestFit="1" customWidth="1"/>
    <col min="328" max="330" width="6" bestFit="1" customWidth="1"/>
    <col min="331" max="331" width="5" bestFit="1" customWidth="1"/>
    <col min="332" max="334" width="6" bestFit="1" customWidth="1"/>
    <col min="335" max="335" width="7" bestFit="1" customWidth="1"/>
    <col min="336" max="336" width="6" bestFit="1" customWidth="1"/>
    <col min="337" max="337" width="4" bestFit="1" customWidth="1"/>
    <col min="338" max="338" width="6" bestFit="1" customWidth="1"/>
    <col min="339" max="339" width="7" bestFit="1" customWidth="1"/>
    <col min="340" max="342" width="6" bestFit="1" customWidth="1"/>
    <col min="343" max="343" width="5" bestFit="1" customWidth="1"/>
    <col min="344" max="344" width="6" bestFit="1" customWidth="1"/>
    <col min="345" max="345" width="5" bestFit="1" customWidth="1"/>
    <col min="346" max="346" width="7" bestFit="1" customWidth="1"/>
    <col min="347" max="347" width="6" bestFit="1" customWidth="1"/>
    <col min="348" max="348" width="7" bestFit="1" customWidth="1"/>
    <col min="349" max="349" width="6" bestFit="1" customWidth="1"/>
    <col min="350" max="350" width="7" bestFit="1" customWidth="1"/>
    <col min="351" max="353" width="6" bestFit="1" customWidth="1"/>
    <col min="354" max="354" width="4" bestFit="1" customWidth="1"/>
    <col min="355" max="357" width="6" bestFit="1" customWidth="1"/>
    <col min="358" max="358" width="7" bestFit="1" customWidth="1"/>
    <col min="359" max="359" width="5" bestFit="1" customWidth="1"/>
    <col min="360" max="360" width="6" bestFit="1" customWidth="1"/>
    <col min="361" max="361" width="4" bestFit="1" customWidth="1"/>
    <col min="362" max="364" width="6" bestFit="1" customWidth="1"/>
    <col min="365" max="365" width="7" bestFit="1" customWidth="1"/>
    <col min="366" max="366" width="4" bestFit="1" customWidth="1"/>
    <col min="367" max="368" width="6" bestFit="1" customWidth="1"/>
    <col min="369" max="369" width="7" bestFit="1" customWidth="1"/>
    <col min="370" max="370" width="5" bestFit="1" customWidth="1"/>
    <col min="371" max="373" width="6" bestFit="1" customWidth="1"/>
    <col min="374" max="374" width="5" bestFit="1" customWidth="1"/>
    <col min="375" max="376" width="6" bestFit="1" customWidth="1"/>
    <col min="377" max="377" width="5" bestFit="1" customWidth="1"/>
    <col min="378" max="383" width="6" bestFit="1" customWidth="1"/>
    <col min="384" max="384" width="5" bestFit="1" customWidth="1"/>
    <col min="385" max="385" width="6" bestFit="1" customWidth="1"/>
    <col min="386" max="387" width="7" bestFit="1" customWidth="1"/>
    <col min="388" max="388" width="6" bestFit="1" customWidth="1"/>
    <col min="389" max="389" width="7" bestFit="1" customWidth="1"/>
    <col min="390" max="394" width="6" bestFit="1" customWidth="1"/>
    <col min="395" max="395" width="7" bestFit="1" customWidth="1"/>
    <col min="396" max="401" width="6" bestFit="1" customWidth="1"/>
    <col min="402" max="402" width="5" bestFit="1" customWidth="1"/>
    <col min="403" max="403" width="6" bestFit="1" customWidth="1"/>
    <col min="404" max="404" width="5" bestFit="1" customWidth="1"/>
    <col min="405" max="415" width="6" bestFit="1" customWidth="1"/>
    <col min="416" max="416" width="7" bestFit="1" customWidth="1"/>
    <col min="417" max="417" width="6" bestFit="1" customWidth="1"/>
    <col min="418" max="418" width="5" bestFit="1" customWidth="1"/>
    <col min="419" max="419" width="7" bestFit="1" customWidth="1"/>
    <col min="420" max="420" width="6" bestFit="1" customWidth="1"/>
    <col min="421" max="421" width="5" bestFit="1" customWidth="1"/>
    <col min="422" max="426" width="6" bestFit="1" customWidth="1"/>
    <col min="427" max="427" width="7" bestFit="1" customWidth="1"/>
    <col min="428" max="431" width="6" bestFit="1" customWidth="1"/>
    <col min="432" max="434" width="7" bestFit="1" customWidth="1"/>
    <col min="435" max="435" width="6" bestFit="1" customWidth="1"/>
    <col min="436" max="436" width="8" bestFit="1" customWidth="1"/>
    <col min="437" max="441" width="7" bestFit="1" customWidth="1"/>
    <col min="442" max="443" width="8" bestFit="1" customWidth="1"/>
    <col min="444" max="445" width="7" bestFit="1" customWidth="1"/>
    <col min="446" max="449" width="8" bestFit="1" customWidth="1"/>
    <col min="450" max="452" width="7" bestFit="1" customWidth="1"/>
    <col min="453" max="453" width="8" bestFit="1" customWidth="1"/>
    <col min="454" max="454" width="7" bestFit="1" customWidth="1"/>
    <col min="455" max="455" width="8" bestFit="1" customWidth="1"/>
    <col min="456" max="456" width="7" bestFit="1" customWidth="1"/>
    <col min="457" max="457" width="8" bestFit="1" customWidth="1"/>
    <col min="458" max="460" width="7" bestFit="1" customWidth="1"/>
    <col min="461" max="461" width="6" bestFit="1" customWidth="1"/>
    <col min="462" max="462" width="8" bestFit="1" customWidth="1"/>
    <col min="463" max="464" width="7" bestFit="1" customWidth="1"/>
    <col min="465" max="465" width="5" bestFit="1" customWidth="1"/>
    <col min="466" max="466" width="7" bestFit="1" customWidth="1"/>
    <col min="467" max="467" width="6" bestFit="1" customWidth="1"/>
    <col min="468" max="469" width="8" bestFit="1" customWidth="1"/>
    <col min="470" max="472" width="7" bestFit="1" customWidth="1"/>
    <col min="473" max="473" width="6" bestFit="1" customWidth="1"/>
    <col min="474" max="474" width="7" bestFit="1" customWidth="1"/>
    <col min="475" max="475" width="5" bestFit="1" customWidth="1"/>
    <col min="476" max="479" width="7" bestFit="1" customWidth="1"/>
    <col min="480" max="480" width="6" bestFit="1" customWidth="1"/>
    <col min="481" max="482" width="8" bestFit="1" customWidth="1"/>
    <col min="483" max="483" width="6" bestFit="1" customWidth="1"/>
    <col min="484" max="484" width="8" bestFit="1" customWidth="1"/>
    <col min="485" max="486" width="7" bestFit="1" customWidth="1"/>
    <col min="487" max="488" width="8" bestFit="1" customWidth="1"/>
    <col min="489" max="492" width="7" bestFit="1" customWidth="1"/>
    <col min="493" max="493" width="6" bestFit="1" customWidth="1"/>
    <col min="494" max="494" width="7" bestFit="1" customWidth="1"/>
    <col min="495" max="495" width="6" bestFit="1" customWidth="1"/>
    <col min="496" max="496" width="7" bestFit="1" customWidth="1"/>
    <col min="497" max="497" width="6" bestFit="1" customWidth="1"/>
    <col min="498" max="498" width="8" bestFit="1" customWidth="1"/>
    <col min="499" max="499" width="6" bestFit="1" customWidth="1"/>
    <col min="500" max="500" width="8" bestFit="1" customWidth="1"/>
    <col min="501" max="502" width="7" bestFit="1" customWidth="1"/>
    <col min="503" max="503" width="6" bestFit="1" customWidth="1"/>
    <col min="504" max="506" width="7" bestFit="1" customWidth="1"/>
    <col min="507" max="508" width="6" bestFit="1" customWidth="1"/>
    <col min="509" max="509" width="8" bestFit="1" customWidth="1"/>
    <col min="510" max="511" width="7" bestFit="1" customWidth="1"/>
    <col min="512" max="513" width="8" bestFit="1" customWidth="1"/>
    <col min="514" max="516" width="7" bestFit="1" customWidth="1"/>
    <col min="517" max="517" width="8" bestFit="1" customWidth="1"/>
    <col min="518" max="519" width="7" bestFit="1" customWidth="1"/>
    <col min="520" max="520" width="8" bestFit="1" customWidth="1"/>
    <col min="521" max="522" width="6" bestFit="1" customWidth="1"/>
    <col min="523" max="523" width="7" bestFit="1" customWidth="1"/>
    <col min="524" max="524" width="8" bestFit="1" customWidth="1"/>
    <col min="525" max="525" width="6" bestFit="1" customWidth="1"/>
    <col min="526" max="528" width="7" bestFit="1" customWidth="1"/>
    <col min="529" max="529" width="8" bestFit="1" customWidth="1"/>
    <col min="530" max="530" width="7" bestFit="1" customWidth="1"/>
    <col min="531" max="531" width="8" bestFit="1" customWidth="1"/>
    <col min="532" max="538" width="7" bestFit="1" customWidth="1"/>
    <col min="539" max="539" width="8" bestFit="1" customWidth="1"/>
    <col min="540" max="540" width="7" bestFit="1" customWidth="1"/>
    <col min="541" max="541" width="6" bestFit="1" customWidth="1"/>
    <col min="542" max="545" width="7" bestFit="1" customWidth="1"/>
    <col min="546" max="546" width="8" bestFit="1" customWidth="1"/>
    <col min="547" max="547" width="6" bestFit="1" customWidth="1"/>
    <col min="548" max="554" width="7" bestFit="1" customWidth="1"/>
    <col min="555" max="555" width="8" bestFit="1" customWidth="1"/>
    <col min="556" max="556" width="6" bestFit="1" customWidth="1"/>
    <col min="557" max="559" width="7" bestFit="1" customWidth="1"/>
    <col min="560" max="560" width="8" bestFit="1" customWidth="1"/>
    <col min="561" max="561" width="7" bestFit="1" customWidth="1"/>
    <col min="562" max="562" width="8" bestFit="1" customWidth="1"/>
    <col min="563" max="565" width="7" bestFit="1" customWidth="1"/>
    <col min="566" max="566" width="6" bestFit="1" customWidth="1"/>
    <col min="567" max="567" width="7" bestFit="1" customWidth="1"/>
    <col min="568" max="569" width="6" bestFit="1" customWidth="1"/>
    <col min="570" max="570" width="7" bestFit="1" customWidth="1"/>
    <col min="571" max="571" width="6" bestFit="1" customWidth="1"/>
    <col min="572" max="572" width="8" bestFit="1" customWidth="1"/>
    <col min="573" max="573" width="7" bestFit="1" customWidth="1"/>
    <col min="574" max="574" width="6" bestFit="1" customWidth="1"/>
    <col min="575" max="575" width="7" bestFit="1" customWidth="1"/>
    <col min="576" max="577" width="8" bestFit="1" customWidth="1"/>
    <col min="578" max="578" width="7" bestFit="1" customWidth="1"/>
    <col min="579" max="579" width="6" bestFit="1" customWidth="1"/>
    <col min="580" max="582" width="7" bestFit="1" customWidth="1"/>
    <col min="583" max="583" width="6" bestFit="1" customWidth="1"/>
    <col min="584" max="588" width="7" bestFit="1" customWidth="1"/>
    <col min="589" max="589" width="8" bestFit="1" customWidth="1"/>
    <col min="590" max="591" width="7" bestFit="1" customWidth="1"/>
    <col min="592" max="592" width="8" bestFit="1" customWidth="1"/>
    <col min="593" max="599" width="7" bestFit="1" customWidth="1"/>
    <col min="600" max="600" width="8" bestFit="1" customWidth="1"/>
    <col min="601" max="602" width="7" bestFit="1" customWidth="1"/>
    <col min="603" max="603" width="8" bestFit="1" customWidth="1"/>
    <col min="604" max="605" width="7" bestFit="1" customWidth="1"/>
    <col min="606" max="606" width="8" bestFit="1" customWidth="1"/>
    <col min="607" max="607" width="7" bestFit="1" customWidth="1"/>
    <col min="608" max="608" width="8" bestFit="1" customWidth="1"/>
    <col min="609" max="610" width="6" bestFit="1" customWidth="1"/>
    <col min="611" max="612" width="8" bestFit="1" customWidth="1"/>
    <col min="613" max="615" width="7" bestFit="1" customWidth="1"/>
    <col min="616" max="616" width="5" bestFit="1" customWidth="1"/>
    <col min="617" max="617" width="8" bestFit="1" customWidth="1"/>
    <col min="618" max="620" width="7" bestFit="1" customWidth="1"/>
    <col min="621" max="621" width="6" bestFit="1" customWidth="1"/>
    <col min="622" max="623" width="7" bestFit="1" customWidth="1"/>
    <col min="624" max="625" width="8" bestFit="1" customWidth="1"/>
    <col min="626" max="627" width="7" bestFit="1" customWidth="1"/>
    <col min="628" max="629" width="8" bestFit="1" customWidth="1"/>
    <col min="630" max="630" width="7" bestFit="1" customWidth="1"/>
    <col min="631" max="631" width="8" bestFit="1" customWidth="1"/>
    <col min="632" max="641" width="7" bestFit="1" customWidth="1"/>
    <col min="642" max="642" width="8" bestFit="1" customWidth="1"/>
    <col min="643" max="645" width="7" bestFit="1" customWidth="1"/>
    <col min="646" max="646" width="6" bestFit="1" customWidth="1"/>
    <col min="647" max="648" width="7" bestFit="1" customWidth="1"/>
    <col min="649" max="650" width="8" bestFit="1" customWidth="1"/>
    <col min="651" max="651" width="6" bestFit="1" customWidth="1"/>
    <col min="652" max="653" width="8" bestFit="1" customWidth="1"/>
    <col min="654" max="654" width="7" bestFit="1" customWidth="1"/>
    <col min="655" max="655" width="8" bestFit="1" customWidth="1"/>
    <col min="656" max="656" width="7" bestFit="1" customWidth="1"/>
    <col min="657" max="658" width="6" bestFit="1" customWidth="1"/>
    <col min="659" max="660" width="8" bestFit="1" customWidth="1"/>
    <col min="661" max="661" width="7" bestFit="1" customWidth="1"/>
    <col min="662" max="662" width="8" bestFit="1" customWidth="1"/>
    <col min="663" max="663" width="7" bestFit="1" customWidth="1"/>
    <col min="664" max="664" width="8" bestFit="1" customWidth="1"/>
    <col min="665" max="676" width="7" bestFit="1" customWidth="1"/>
    <col min="677" max="677" width="6" bestFit="1" customWidth="1"/>
    <col min="678" max="678" width="8" bestFit="1" customWidth="1"/>
    <col min="679" max="686" width="7" bestFit="1" customWidth="1"/>
    <col min="687" max="687" width="8" bestFit="1" customWidth="1"/>
    <col min="688" max="688" width="7" bestFit="1" customWidth="1"/>
    <col min="689" max="689" width="8" bestFit="1" customWidth="1"/>
    <col min="690" max="692" width="7" bestFit="1" customWidth="1"/>
    <col min="693" max="693" width="6" bestFit="1" customWidth="1"/>
    <col min="694" max="694" width="7" bestFit="1" customWidth="1"/>
    <col min="695" max="695" width="8" bestFit="1" customWidth="1"/>
    <col min="696" max="697" width="6" bestFit="1" customWidth="1"/>
    <col min="698" max="699" width="7" bestFit="1" customWidth="1"/>
    <col min="700" max="700" width="8" bestFit="1" customWidth="1"/>
    <col min="701" max="701" width="6" bestFit="1" customWidth="1"/>
    <col min="702" max="704" width="7" bestFit="1" customWidth="1"/>
    <col min="705" max="705" width="8" bestFit="1" customWidth="1"/>
    <col min="706" max="706" width="7" bestFit="1" customWidth="1"/>
    <col min="707" max="707" width="6" bestFit="1" customWidth="1"/>
    <col min="708" max="710" width="7" bestFit="1" customWidth="1"/>
    <col min="711" max="711" width="8" bestFit="1" customWidth="1"/>
    <col min="712" max="718" width="7" bestFit="1" customWidth="1"/>
    <col min="719" max="721" width="8" bestFit="1" customWidth="1"/>
    <col min="722" max="722" width="6" bestFit="1" customWidth="1"/>
    <col min="723" max="724" width="7" bestFit="1" customWidth="1"/>
    <col min="725" max="725" width="8" bestFit="1" customWidth="1"/>
    <col min="726" max="726" width="7" bestFit="1" customWidth="1"/>
    <col min="727" max="727" width="6" bestFit="1" customWidth="1"/>
    <col min="728" max="728" width="7" bestFit="1" customWidth="1"/>
    <col min="729" max="729" width="8" bestFit="1" customWidth="1"/>
    <col min="730" max="731" width="7" bestFit="1" customWidth="1"/>
    <col min="732" max="732" width="8" bestFit="1" customWidth="1"/>
    <col min="733" max="733" width="6" bestFit="1" customWidth="1"/>
    <col min="734" max="735" width="7" bestFit="1" customWidth="1"/>
    <col min="736" max="736" width="6" bestFit="1" customWidth="1"/>
    <col min="737" max="738" width="7" bestFit="1" customWidth="1"/>
    <col min="739" max="739" width="6" bestFit="1" customWidth="1"/>
    <col min="740" max="741" width="7" bestFit="1" customWidth="1"/>
    <col min="742" max="742" width="6" bestFit="1" customWidth="1"/>
    <col min="743" max="744" width="7" bestFit="1" customWidth="1"/>
    <col min="745" max="745" width="8" bestFit="1" customWidth="1"/>
    <col min="746" max="746" width="6" bestFit="1" customWidth="1"/>
    <col min="747" max="747" width="7" bestFit="1" customWidth="1"/>
    <col min="748" max="748" width="6" bestFit="1" customWidth="1"/>
    <col min="749" max="751" width="8" bestFit="1" customWidth="1"/>
    <col min="752" max="752" width="6" bestFit="1" customWidth="1"/>
    <col min="753" max="754" width="7" bestFit="1" customWidth="1"/>
    <col min="755" max="755" width="8" bestFit="1" customWidth="1"/>
    <col min="756" max="760" width="7" bestFit="1" customWidth="1"/>
    <col min="761" max="761" width="8" bestFit="1" customWidth="1"/>
    <col min="762" max="762" width="6" bestFit="1" customWidth="1"/>
    <col min="763" max="763" width="8" bestFit="1" customWidth="1"/>
    <col min="764" max="764" width="6" bestFit="1" customWidth="1"/>
    <col min="765" max="765" width="8" bestFit="1" customWidth="1"/>
    <col min="766" max="766" width="7" bestFit="1" customWidth="1"/>
    <col min="767" max="768" width="8" bestFit="1" customWidth="1"/>
    <col min="769" max="771" width="7" bestFit="1" customWidth="1"/>
    <col min="772" max="772" width="8" bestFit="1" customWidth="1"/>
    <col min="773" max="773" width="7" bestFit="1" customWidth="1"/>
    <col min="774" max="774" width="8" bestFit="1" customWidth="1"/>
    <col min="775" max="775" width="7" bestFit="1" customWidth="1"/>
    <col min="776" max="776" width="6" bestFit="1" customWidth="1"/>
    <col min="777" max="777" width="8" bestFit="1" customWidth="1"/>
    <col min="778" max="780" width="7" bestFit="1" customWidth="1"/>
    <col min="781" max="781" width="8" bestFit="1" customWidth="1"/>
    <col min="782" max="782" width="5" bestFit="1" customWidth="1"/>
    <col min="783" max="783" width="6" bestFit="1" customWidth="1"/>
    <col min="784" max="784" width="8" bestFit="1" customWidth="1"/>
    <col min="785" max="787" width="7" bestFit="1" customWidth="1"/>
    <col min="788" max="788" width="8" bestFit="1" customWidth="1"/>
    <col min="789" max="790" width="7" bestFit="1" customWidth="1"/>
    <col min="791" max="791" width="6" bestFit="1" customWidth="1"/>
    <col min="792" max="793" width="7" bestFit="1" customWidth="1"/>
    <col min="794" max="794" width="8" bestFit="1" customWidth="1"/>
    <col min="795" max="800" width="7" bestFit="1" customWidth="1"/>
    <col min="801" max="801" width="6" bestFit="1" customWidth="1"/>
    <col min="802" max="803" width="7" bestFit="1" customWidth="1"/>
    <col min="804" max="804" width="6" bestFit="1" customWidth="1"/>
    <col min="805" max="806" width="8" bestFit="1" customWidth="1"/>
    <col min="807" max="815" width="7" bestFit="1" customWidth="1"/>
    <col min="816" max="817" width="6" bestFit="1" customWidth="1"/>
    <col min="818" max="820" width="7" bestFit="1" customWidth="1"/>
    <col min="821" max="822" width="8" bestFit="1" customWidth="1"/>
    <col min="823" max="827" width="7" bestFit="1" customWidth="1"/>
    <col min="828" max="828" width="6" bestFit="1" customWidth="1"/>
    <col min="829" max="829" width="7" bestFit="1" customWidth="1"/>
    <col min="830" max="830" width="6" bestFit="1" customWidth="1"/>
    <col min="831" max="832" width="8" bestFit="1" customWidth="1"/>
    <col min="833" max="836" width="7" bestFit="1" customWidth="1"/>
    <col min="837" max="837" width="3" bestFit="1" customWidth="1"/>
    <col min="838" max="842" width="7" bestFit="1" customWidth="1"/>
    <col min="843" max="843" width="6" bestFit="1" customWidth="1"/>
    <col min="844" max="846" width="7" bestFit="1" customWidth="1"/>
    <col min="847" max="847" width="6" bestFit="1" customWidth="1"/>
    <col min="848" max="849" width="7" bestFit="1" customWidth="1"/>
    <col min="850" max="850" width="8" bestFit="1" customWidth="1"/>
    <col min="851" max="852" width="7" bestFit="1" customWidth="1"/>
    <col min="853" max="853" width="6" bestFit="1" customWidth="1"/>
    <col min="854" max="854" width="7" bestFit="1" customWidth="1"/>
    <col min="855" max="856" width="8" bestFit="1" customWidth="1"/>
    <col min="857" max="857" width="7" bestFit="1" customWidth="1"/>
    <col min="858" max="858" width="6" bestFit="1" customWidth="1"/>
    <col min="859" max="859" width="8" bestFit="1" customWidth="1"/>
    <col min="860" max="862" width="7" bestFit="1" customWidth="1"/>
    <col min="863" max="864" width="6" bestFit="1" customWidth="1"/>
    <col min="865" max="865" width="8" bestFit="1" customWidth="1"/>
    <col min="866" max="866" width="7" bestFit="1" customWidth="1"/>
    <col min="867" max="867" width="8" bestFit="1" customWidth="1"/>
    <col min="868" max="868" width="7" bestFit="1" customWidth="1"/>
    <col min="869" max="870" width="6" bestFit="1" customWidth="1"/>
    <col min="871" max="873" width="7" bestFit="1" customWidth="1"/>
    <col min="874" max="874" width="6" bestFit="1" customWidth="1"/>
    <col min="875" max="875" width="8" bestFit="1" customWidth="1"/>
    <col min="876" max="877" width="7" bestFit="1" customWidth="1"/>
    <col min="878" max="878" width="8" bestFit="1" customWidth="1"/>
    <col min="879" max="880" width="7" bestFit="1" customWidth="1"/>
    <col min="881" max="881" width="8" bestFit="1" customWidth="1"/>
    <col min="882" max="883" width="7" bestFit="1" customWidth="1"/>
    <col min="884" max="884" width="8" bestFit="1" customWidth="1"/>
    <col min="885" max="886" width="7" bestFit="1" customWidth="1"/>
    <col min="887" max="887" width="8" bestFit="1" customWidth="1"/>
    <col min="888" max="888" width="7" bestFit="1" customWidth="1"/>
    <col min="889" max="889" width="8" bestFit="1" customWidth="1"/>
    <col min="890" max="890" width="7" bestFit="1" customWidth="1"/>
    <col min="891" max="892" width="8" bestFit="1" customWidth="1"/>
    <col min="893" max="893" width="5" bestFit="1" customWidth="1"/>
    <col min="894" max="894" width="6" bestFit="1" customWidth="1"/>
    <col min="895" max="895" width="7" bestFit="1" customWidth="1"/>
    <col min="896" max="896" width="6" bestFit="1" customWidth="1"/>
    <col min="897" max="897" width="7" bestFit="1" customWidth="1"/>
    <col min="898" max="898" width="6" bestFit="1" customWidth="1"/>
    <col min="899" max="899" width="8" bestFit="1" customWidth="1"/>
    <col min="900" max="900" width="6" bestFit="1" customWidth="1"/>
    <col min="901" max="901" width="8" bestFit="1" customWidth="1"/>
    <col min="902" max="903" width="7" bestFit="1" customWidth="1"/>
    <col min="904" max="906" width="8" bestFit="1" customWidth="1"/>
    <col min="907" max="907" width="7" bestFit="1" customWidth="1"/>
    <col min="908" max="908" width="6" bestFit="1" customWidth="1"/>
    <col min="909" max="910" width="7" bestFit="1" customWidth="1"/>
    <col min="911" max="911" width="6" bestFit="1" customWidth="1"/>
    <col min="912" max="912" width="5" bestFit="1" customWidth="1"/>
    <col min="913" max="913" width="6" bestFit="1" customWidth="1"/>
    <col min="914" max="916" width="7" bestFit="1" customWidth="1"/>
    <col min="917" max="917" width="8" bestFit="1" customWidth="1"/>
    <col min="918" max="918" width="7" bestFit="1" customWidth="1"/>
    <col min="919" max="919" width="8" bestFit="1" customWidth="1"/>
    <col min="920" max="920" width="6" bestFit="1" customWidth="1"/>
    <col min="921" max="923" width="7" bestFit="1" customWidth="1"/>
    <col min="924" max="926" width="6" bestFit="1" customWidth="1"/>
    <col min="927" max="927" width="7" bestFit="1" customWidth="1"/>
    <col min="928" max="928" width="5" bestFit="1" customWidth="1"/>
    <col min="929" max="932" width="7" bestFit="1" customWidth="1"/>
    <col min="933" max="933" width="8" bestFit="1" customWidth="1"/>
    <col min="934" max="935" width="7" bestFit="1" customWidth="1"/>
    <col min="936" max="936" width="5" bestFit="1" customWidth="1"/>
    <col min="937" max="937" width="6" bestFit="1" customWidth="1"/>
    <col min="938" max="938" width="5" bestFit="1" customWidth="1"/>
    <col min="939" max="939" width="6" bestFit="1" customWidth="1"/>
    <col min="940" max="943" width="7" bestFit="1" customWidth="1"/>
    <col min="944" max="945" width="6" bestFit="1" customWidth="1"/>
    <col min="946" max="946" width="8" bestFit="1" customWidth="1"/>
    <col min="947" max="948" width="7" bestFit="1" customWidth="1"/>
    <col min="949" max="950" width="8" bestFit="1" customWidth="1"/>
    <col min="951" max="951" width="7" bestFit="1" customWidth="1"/>
    <col min="952" max="952" width="8" bestFit="1" customWidth="1"/>
    <col min="953" max="954" width="7" bestFit="1" customWidth="1"/>
    <col min="955" max="955" width="8" bestFit="1" customWidth="1"/>
    <col min="956" max="957" width="7" bestFit="1" customWidth="1"/>
    <col min="958" max="959" width="6" bestFit="1" customWidth="1"/>
    <col min="960" max="965" width="7" bestFit="1" customWidth="1"/>
    <col min="966" max="966" width="6" bestFit="1" customWidth="1"/>
    <col min="967" max="969" width="7" bestFit="1" customWidth="1"/>
    <col min="970" max="970" width="8" bestFit="1" customWidth="1"/>
    <col min="971" max="972" width="7" bestFit="1" customWidth="1"/>
    <col min="973" max="973" width="8" bestFit="1" customWidth="1"/>
    <col min="974" max="974" width="5" bestFit="1" customWidth="1"/>
    <col min="975" max="975" width="7" bestFit="1" customWidth="1"/>
    <col min="976" max="976" width="6" bestFit="1" customWidth="1"/>
    <col min="977" max="977" width="8" bestFit="1" customWidth="1"/>
    <col min="978" max="978" width="5" bestFit="1" customWidth="1"/>
    <col min="979" max="980" width="7" bestFit="1" customWidth="1"/>
    <col min="981" max="981" width="6" bestFit="1" customWidth="1"/>
    <col min="982" max="982" width="7" bestFit="1" customWidth="1"/>
    <col min="983" max="984" width="6" bestFit="1" customWidth="1"/>
    <col min="985" max="986" width="7" bestFit="1" customWidth="1"/>
    <col min="987" max="991" width="6" bestFit="1" customWidth="1"/>
    <col min="992" max="992" width="10.77734375" bestFit="1" customWidth="1"/>
  </cols>
  <sheetData>
    <row r="2" spans="1:20" ht="15.6" x14ac:dyDescent="0.3">
      <c r="A2" s="12" t="s">
        <v>1044</v>
      </c>
      <c r="B2" s="12"/>
      <c r="S2" s="2" t="s">
        <v>5</v>
      </c>
      <c r="T2" t="s">
        <v>1037</v>
      </c>
    </row>
    <row r="3" spans="1:20" x14ac:dyDescent="0.3">
      <c r="A3" s="2" t="s">
        <v>5</v>
      </c>
      <c r="B3" t="s">
        <v>1037</v>
      </c>
      <c r="S3" s="3" t="s">
        <v>28</v>
      </c>
      <c r="T3" s="14">
        <v>54337.531500000005</v>
      </c>
    </row>
    <row r="4" spans="1:20" x14ac:dyDescent="0.3">
      <c r="A4" s="3" t="s">
        <v>28</v>
      </c>
      <c r="B4" s="14">
        <v>54337.531500000005</v>
      </c>
      <c r="S4" s="3" t="s">
        <v>46</v>
      </c>
      <c r="T4" s="14">
        <v>54305.894999999997</v>
      </c>
    </row>
    <row r="5" spans="1:20" x14ac:dyDescent="0.3">
      <c r="A5" s="3" t="s">
        <v>46</v>
      </c>
      <c r="B5" s="14">
        <v>54305.894999999997</v>
      </c>
      <c r="S5" s="3" t="s">
        <v>44</v>
      </c>
      <c r="T5" s="14">
        <v>56144.844000000005</v>
      </c>
    </row>
    <row r="6" spans="1:20" x14ac:dyDescent="0.3">
      <c r="A6" s="3" t="s">
        <v>44</v>
      </c>
      <c r="B6" s="14">
        <v>56144.844000000005</v>
      </c>
      <c r="S6" s="3" t="s">
        <v>22</v>
      </c>
      <c r="T6" s="14">
        <v>49193.739000000016</v>
      </c>
    </row>
    <row r="7" spans="1:20" x14ac:dyDescent="0.3">
      <c r="A7" s="3" t="s">
        <v>22</v>
      </c>
      <c r="B7" s="14">
        <v>49193.739000000016</v>
      </c>
      <c r="S7" s="3" t="s">
        <v>32</v>
      </c>
      <c r="T7" s="14">
        <v>53861.913000000008</v>
      </c>
    </row>
    <row r="8" spans="1:20" x14ac:dyDescent="0.3">
      <c r="A8" s="3" t="s">
        <v>32</v>
      </c>
      <c r="B8" s="14">
        <v>53861.913000000008</v>
      </c>
      <c r="S8" s="3" t="s">
        <v>36</v>
      </c>
      <c r="T8" s="14">
        <v>55122.826499999996</v>
      </c>
    </row>
    <row r="9" spans="1:20" x14ac:dyDescent="0.3">
      <c r="A9" s="3" t="s">
        <v>36</v>
      </c>
      <c r="B9" s="14">
        <v>55122.826499999996</v>
      </c>
      <c r="S9" s="3" t="s">
        <v>1036</v>
      </c>
      <c r="T9" s="14">
        <v>322966.74900000007</v>
      </c>
    </row>
    <row r="10" spans="1:20" x14ac:dyDescent="0.3">
      <c r="A10" s="3" t="s">
        <v>1036</v>
      </c>
      <c r="B10" s="14">
        <v>322966.74900000007</v>
      </c>
    </row>
    <row r="15" spans="1:20" x14ac:dyDescent="0.3">
      <c r="A15" s="13" t="s">
        <v>1045</v>
      </c>
      <c r="B15" s="13"/>
    </row>
    <row r="16" spans="1:20" x14ac:dyDescent="0.3">
      <c r="A16" s="2" t="s">
        <v>2</v>
      </c>
      <c r="B16" t="s">
        <v>1037</v>
      </c>
    </row>
    <row r="17" spans="1:2" x14ac:dyDescent="0.3">
      <c r="A17" s="3" t="s">
        <v>43</v>
      </c>
      <c r="B17" s="14">
        <v>106197.67199999996</v>
      </c>
    </row>
    <row r="18" spans="1:2" x14ac:dyDescent="0.3">
      <c r="A18" s="3" t="s">
        <v>26</v>
      </c>
      <c r="B18" s="14">
        <v>110568.70649999994</v>
      </c>
    </row>
    <row r="19" spans="1:2" x14ac:dyDescent="0.3">
      <c r="A19" s="3" t="s">
        <v>19</v>
      </c>
      <c r="B19" s="14">
        <v>106200.37050000011</v>
      </c>
    </row>
    <row r="20" spans="1:2" x14ac:dyDescent="0.3">
      <c r="A20" s="3" t="s">
        <v>1036</v>
      </c>
      <c r="B20" s="14">
        <v>322966.74900000001</v>
      </c>
    </row>
    <row r="25" spans="1:2" ht="15.6" x14ac:dyDescent="0.3">
      <c r="A25" s="8" t="s">
        <v>1046</v>
      </c>
      <c r="B25" s="8"/>
    </row>
    <row r="26" spans="1:2" x14ac:dyDescent="0.3">
      <c r="A26" s="2" t="s">
        <v>1067</v>
      </c>
      <c r="B26" t="s">
        <v>1037</v>
      </c>
    </row>
    <row r="27" spans="1:2" x14ac:dyDescent="0.3">
      <c r="A27" s="3" t="s">
        <v>1068</v>
      </c>
      <c r="B27" s="14">
        <v>116291.86800000005</v>
      </c>
    </row>
    <row r="28" spans="1:2" x14ac:dyDescent="0.3">
      <c r="A28" s="3" t="s">
        <v>1069</v>
      </c>
      <c r="B28" s="14">
        <v>97219.373999999967</v>
      </c>
    </row>
    <row r="29" spans="1:2" x14ac:dyDescent="0.3">
      <c r="A29" s="3" t="s">
        <v>1038</v>
      </c>
      <c r="B29" s="14">
        <v>109455.50700000004</v>
      </c>
    </row>
    <row r="30" spans="1:2" x14ac:dyDescent="0.3">
      <c r="A30" s="3" t="s">
        <v>1036</v>
      </c>
      <c r="B30" s="14">
        <v>322966.74900000007</v>
      </c>
    </row>
    <row r="31" spans="1:2" x14ac:dyDescent="0.3">
      <c r="A31" s="3"/>
    </row>
    <row r="32" spans="1:2" x14ac:dyDescent="0.3">
      <c r="A32" s="3"/>
    </row>
    <row r="33" spans="1:2" x14ac:dyDescent="0.3">
      <c r="A33" s="3"/>
    </row>
    <row r="35" spans="1:2" ht="15.6" x14ac:dyDescent="0.3">
      <c r="A35" s="12" t="s">
        <v>1047</v>
      </c>
      <c r="B35" s="12"/>
    </row>
    <row r="36" spans="1:2" x14ac:dyDescent="0.3">
      <c r="A36" s="2" t="s">
        <v>12</v>
      </c>
      <c r="B36" t="s">
        <v>1037</v>
      </c>
    </row>
    <row r="37" spans="1:2" x14ac:dyDescent="0.3">
      <c r="A37" s="3" t="s">
        <v>29</v>
      </c>
      <c r="B37" s="14">
        <v>112206.56999999995</v>
      </c>
    </row>
    <row r="38" spans="1:2" x14ac:dyDescent="0.3">
      <c r="A38" s="3" t="s">
        <v>33</v>
      </c>
      <c r="B38" s="14">
        <v>100767.07200000006</v>
      </c>
    </row>
    <row r="39" spans="1:2" x14ac:dyDescent="0.3">
      <c r="A39" s="3" t="s">
        <v>23</v>
      </c>
      <c r="B39" s="14">
        <v>109993.107</v>
      </c>
    </row>
    <row r="40" spans="1:2" x14ac:dyDescent="0.3">
      <c r="A40" s="3" t="s">
        <v>1036</v>
      </c>
      <c r="B40" s="14">
        <v>322966.74900000001</v>
      </c>
    </row>
    <row r="41" spans="1:2" x14ac:dyDescent="0.3">
      <c r="A41" s="3"/>
    </row>
    <row r="42" spans="1:2" x14ac:dyDescent="0.3">
      <c r="A42" s="3"/>
    </row>
    <row r="43" spans="1:2" x14ac:dyDescent="0.3">
      <c r="A43" s="3"/>
    </row>
    <row r="44" spans="1:2" x14ac:dyDescent="0.3">
      <c r="A44" s="3"/>
    </row>
    <row r="46" spans="1:2" ht="15.6" x14ac:dyDescent="0.3">
      <c r="A46" s="8" t="s">
        <v>1048</v>
      </c>
      <c r="B46" s="8"/>
    </row>
    <row r="47" spans="1:2" x14ac:dyDescent="0.3">
      <c r="A47" s="2" t="s">
        <v>4</v>
      </c>
      <c r="B47" t="s">
        <v>1037</v>
      </c>
    </row>
    <row r="48" spans="1:2" x14ac:dyDescent="0.3">
      <c r="A48" s="3" t="s">
        <v>21</v>
      </c>
      <c r="B48" s="14">
        <v>167882.92500000002</v>
      </c>
    </row>
    <row r="49" spans="1:2" x14ac:dyDescent="0.3">
      <c r="A49" s="3" t="s">
        <v>31</v>
      </c>
      <c r="B49" s="14">
        <v>155083.82400000014</v>
      </c>
    </row>
    <row r="50" spans="1:2" x14ac:dyDescent="0.3">
      <c r="A50" s="3" t="s">
        <v>1036</v>
      </c>
      <c r="B50" s="14">
        <v>322966.74900000019</v>
      </c>
    </row>
    <row r="55" spans="1:2" ht="15.6" x14ac:dyDescent="0.3">
      <c r="A55" s="8" t="s">
        <v>1049</v>
      </c>
      <c r="B55" s="8"/>
    </row>
    <row r="56" spans="1:2" x14ac:dyDescent="0.3">
      <c r="A56" s="2" t="s">
        <v>3</v>
      </c>
      <c r="B56" t="s">
        <v>1037</v>
      </c>
    </row>
    <row r="57" spans="1:2" x14ac:dyDescent="0.3">
      <c r="A57" s="3" t="s">
        <v>20</v>
      </c>
      <c r="B57" s="14">
        <v>164223.44400000002</v>
      </c>
    </row>
    <row r="58" spans="1:2" x14ac:dyDescent="0.3">
      <c r="A58" s="3" t="s">
        <v>27</v>
      </c>
      <c r="B58" s="14">
        <v>158743.30500000005</v>
      </c>
    </row>
    <row r="59" spans="1:2" x14ac:dyDescent="0.3">
      <c r="A59" s="3" t="s">
        <v>1036</v>
      </c>
      <c r="B59" s="14">
        <v>322966.74900000007</v>
      </c>
    </row>
    <row r="63" spans="1:2" ht="15.6" x14ac:dyDescent="0.3">
      <c r="A63" s="8" t="s">
        <v>1050</v>
      </c>
      <c r="B63" s="8"/>
    </row>
    <row r="64" spans="1:2" x14ac:dyDescent="0.3">
      <c r="A64" s="2" t="s">
        <v>1066</v>
      </c>
      <c r="B64" t="s">
        <v>1051</v>
      </c>
    </row>
    <row r="65" spans="1:2" x14ac:dyDescent="0.3">
      <c r="A65" s="3" t="s">
        <v>28</v>
      </c>
      <c r="B65" s="14">
        <v>319.63253823529413</v>
      </c>
    </row>
    <row r="66" spans="1:2" x14ac:dyDescent="0.3">
      <c r="A66" s="9" t="s">
        <v>43</v>
      </c>
      <c r="B66" s="14">
        <v>310.0262454545454</v>
      </c>
    </row>
    <row r="67" spans="1:2" x14ac:dyDescent="0.3">
      <c r="A67" s="9" t="s">
        <v>26</v>
      </c>
      <c r="B67" s="14">
        <v>344.89044545454544</v>
      </c>
    </row>
    <row r="68" spans="1:2" x14ac:dyDescent="0.3">
      <c r="A68" s="9" t="s">
        <v>19</v>
      </c>
      <c r="B68" s="14">
        <v>305.28522500000003</v>
      </c>
    </row>
    <row r="69" spans="1:2" x14ac:dyDescent="0.3">
      <c r="A69" s="3" t="s">
        <v>46</v>
      </c>
      <c r="B69" s="14">
        <v>305.08929775280893</v>
      </c>
    </row>
    <row r="70" spans="1:2" x14ac:dyDescent="0.3">
      <c r="A70" s="9" t="s">
        <v>43</v>
      </c>
      <c r="B70" s="14">
        <v>264.73091129032252</v>
      </c>
    </row>
    <row r="71" spans="1:2" x14ac:dyDescent="0.3">
      <c r="A71" s="9" t="s">
        <v>26</v>
      </c>
      <c r="B71" s="14">
        <v>331.69338461538456</v>
      </c>
    </row>
    <row r="72" spans="1:2" x14ac:dyDescent="0.3">
      <c r="A72" s="9" t="s">
        <v>19</v>
      </c>
      <c r="B72" s="14">
        <v>320.24526470588228</v>
      </c>
    </row>
    <row r="73" spans="1:2" x14ac:dyDescent="0.3">
      <c r="A73" s="3" t="s">
        <v>44</v>
      </c>
      <c r="B73" s="14">
        <v>322.67151724137932</v>
      </c>
    </row>
    <row r="74" spans="1:2" x14ac:dyDescent="0.3">
      <c r="A74" s="9" t="s">
        <v>43</v>
      </c>
      <c r="B74" s="14">
        <v>304.29777000000001</v>
      </c>
    </row>
    <row r="75" spans="1:2" x14ac:dyDescent="0.3">
      <c r="A75" s="9" t="s">
        <v>26</v>
      </c>
      <c r="B75" s="14">
        <v>360.10386363636354</v>
      </c>
    </row>
    <row r="76" spans="1:2" x14ac:dyDescent="0.3">
      <c r="A76" s="9" t="s">
        <v>19</v>
      </c>
      <c r="B76" s="14">
        <v>295.91552586206899</v>
      </c>
    </row>
    <row r="77" spans="1:2" x14ac:dyDescent="0.3">
      <c r="A77" s="3" t="s">
        <v>22</v>
      </c>
      <c r="B77" s="14">
        <v>323.64301973684201</v>
      </c>
    </row>
    <row r="78" spans="1:2" x14ac:dyDescent="0.3">
      <c r="A78" s="9" t="s">
        <v>43</v>
      </c>
      <c r="B78" s="14">
        <v>376.99358490566033</v>
      </c>
    </row>
    <row r="79" spans="1:2" x14ac:dyDescent="0.3">
      <c r="A79" s="9" t="s">
        <v>26</v>
      </c>
      <c r="B79" s="14">
        <v>319.52550000000002</v>
      </c>
    </row>
    <row r="80" spans="1:2" x14ac:dyDescent="0.3">
      <c r="A80" s="9" t="s">
        <v>19</v>
      </c>
      <c r="B80" s="14">
        <v>268.03729787234033</v>
      </c>
    </row>
    <row r="81" spans="1:2" x14ac:dyDescent="0.3">
      <c r="A81" s="3" t="s">
        <v>32</v>
      </c>
      <c r="B81" s="14">
        <v>336.63695624999991</v>
      </c>
    </row>
    <row r="82" spans="1:2" x14ac:dyDescent="0.3">
      <c r="A82" s="9" t="s">
        <v>43</v>
      </c>
      <c r="B82" s="14">
        <v>350.98328999999995</v>
      </c>
    </row>
    <row r="83" spans="1:2" x14ac:dyDescent="0.3">
      <c r="A83" s="9" t="s">
        <v>26</v>
      </c>
      <c r="B83" s="14">
        <v>308.79006666666669</v>
      </c>
    </row>
    <row r="84" spans="1:2" x14ac:dyDescent="0.3">
      <c r="A84" s="9" t="s">
        <v>19</v>
      </c>
      <c r="B84" s="14">
        <v>344.87993076923073</v>
      </c>
    </row>
    <row r="85" spans="1:2" x14ac:dyDescent="0.3">
      <c r="A85" s="3" t="s">
        <v>36</v>
      </c>
      <c r="B85" s="14">
        <v>332.065219879518</v>
      </c>
    </row>
    <row r="86" spans="1:2" x14ac:dyDescent="0.3">
      <c r="A86" s="9" t="s">
        <v>43</v>
      </c>
      <c r="B86" s="14">
        <v>322.39030645161284</v>
      </c>
    </row>
    <row r="87" spans="1:2" x14ac:dyDescent="0.3">
      <c r="A87" s="9" t="s">
        <v>26</v>
      </c>
      <c r="B87" s="14">
        <v>350.26506666666671</v>
      </c>
    </row>
    <row r="88" spans="1:2" x14ac:dyDescent="0.3">
      <c r="A88" s="9" t="s">
        <v>19</v>
      </c>
      <c r="B88" s="14">
        <v>328.35083898305089</v>
      </c>
    </row>
    <row r="89" spans="1:2" x14ac:dyDescent="0.3">
      <c r="A89" s="3" t="s">
        <v>1036</v>
      </c>
      <c r="B89" s="14">
        <v>322.96674899999999</v>
      </c>
    </row>
    <row r="92" spans="1:2" x14ac:dyDescent="0.3">
      <c r="A92" s="13" t="s">
        <v>1052</v>
      </c>
      <c r="B92" s="13"/>
    </row>
    <row r="93" spans="1:2" x14ac:dyDescent="0.3">
      <c r="A93" s="2" t="s">
        <v>5</v>
      </c>
      <c r="B93" t="s">
        <v>1053</v>
      </c>
    </row>
    <row r="94" spans="1:2" x14ac:dyDescent="0.3">
      <c r="A94" s="3" t="s">
        <v>28</v>
      </c>
      <c r="B94" s="14">
        <v>2587.5015000000017</v>
      </c>
    </row>
    <row r="95" spans="1:2" x14ac:dyDescent="0.3">
      <c r="A95" s="3" t="s">
        <v>46</v>
      </c>
      <c r="B95" s="14">
        <v>2585.9949999999999</v>
      </c>
    </row>
    <row r="96" spans="1:2" x14ac:dyDescent="0.3">
      <c r="A96" s="3" t="s">
        <v>44</v>
      </c>
      <c r="B96" s="14">
        <v>2673.5639999999994</v>
      </c>
    </row>
    <row r="97" spans="1:2" x14ac:dyDescent="0.3">
      <c r="A97" s="3" t="s">
        <v>22</v>
      </c>
      <c r="B97" s="14">
        <v>2342.5589999999993</v>
      </c>
    </row>
    <row r="98" spans="1:2" x14ac:dyDescent="0.3">
      <c r="A98" s="3" t="s">
        <v>32</v>
      </c>
      <c r="B98" s="14">
        <v>2564.8530000000019</v>
      </c>
    </row>
    <row r="99" spans="1:2" x14ac:dyDescent="0.3">
      <c r="A99" s="3" t="s">
        <v>36</v>
      </c>
      <c r="B99" s="14">
        <v>2624.8964999999994</v>
      </c>
    </row>
    <row r="100" spans="1:2" x14ac:dyDescent="0.3">
      <c r="A100" s="3" t="s">
        <v>1036</v>
      </c>
      <c r="B100" s="14">
        <v>15379.369000000002</v>
      </c>
    </row>
    <row r="103" spans="1:2" ht="15.6" x14ac:dyDescent="0.3">
      <c r="A103" s="12" t="s">
        <v>1054</v>
      </c>
      <c r="B103" s="12"/>
    </row>
    <row r="104" spans="1:2" x14ac:dyDescent="0.3">
      <c r="A104" s="2" t="s">
        <v>11</v>
      </c>
      <c r="B104" t="s">
        <v>1053</v>
      </c>
    </row>
    <row r="105" spans="1:2" x14ac:dyDescent="0.3">
      <c r="A105" s="10" t="s">
        <v>1055</v>
      </c>
      <c r="B105" s="14">
        <v>1496.2609999999997</v>
      </c>
    </row>
    <row r="106" spans="1:2" x14ac:dyDescent="0.3">
      <c r="A106" s="10" t="s">
        <v>1056</v>
      </c>
      <c r="B106" s="14">
        <v>1446.5394999999996</v>
      </c>
    </row>
    <row r="107" spans="1:2" x14ac:dyDescent="0.3">
      <c r="A107" s="10" t="s">
        <v>1057</v>
      </c>
      <c r="B107" s="14">
        <v>1241.2324999999998</v>
      </c>
    </row>
    <row r="108" spans="1:2" x14ac:dyDescent="0.3">
      <c r="A108" s="10" t="s">
        <v>1058</v>
      </c>
      <c r="B108" s="14">
        <v>1653.4869999999999</v>
      </c>
    </row>
    <row r="109" spans="1:2" x14ac:dyDescent="0.3">
      <c r="A109" s="10" t="s">
        <v>1059</v>
      </c>
      <c r="B109" s="14">
        <v>1468.019</v>
      </c>
    </row>
    <row r="110" spans="1:2" x14ac:dyDescent="0.3">
      <c r="A110" s="10" t="s">
        <v>1060</v>
      </c>
      <c r="B110" s="14">
        <v>1484.7384999999995</v>
      </c>
    </row>
    <row r="111" spans="1:2" x14ac:dyDescent="0.3">
      <c r="A111" s="10" t="s">
        <v>1061</v>
      </c>
      <c r="B111" s="14">
        <v>1201.2535000000005</v>
      </c>
    </row>
    <row r="112" spans="1:2" x14ac:dyDescent="0.3">
      <c r="A112" s="10" t="s">
        <v>1062</v>
      </c>
      <c r="B112" s="14">
        <v>1164.0580000000002</v>
      </c>
    </row>
    <row r="113" spans="1:2" x14ac:dyDescent="0.3">
      <c r="A113" s="10" t="s">
        <v>1063</v>
      </c>
      <c r="B113" s="14">
        <v>1239.54</v>
      </c>
    </row>
    <row r="114" spans="1:2" x14ac:dyDescent="0.3">
      <c r="A114" s="10" t="s">
        <v>1064</v>
      </c>
      <c r="B114" s="14">
        <v>1890.453</v>
      </c>
    </row>
    <row r="115" spans="1:2" x14ac:dyDescent="0.3">
      <c r="A115" s="10" t="s">
        <v>1065</v>
      </c>
      <c r="B115" s="14">
        <v>1093.7870000000005</v>
      </c>
    </row>
    <row r="116" spans="1:2" x14ac:dyDescent="0.3">
      <c r="A116" s="3" t="s">
        <v>1036</v>
      </c>
      <c r="B116" s="14">
        <v>15379.369000000001</v>
      </c>
    </row>
  </sheetData>
  <mergeCells count="5">
    <mergeCell ref="A2:B2"/>
    <mergeCell ref="A15:B15"/>
    <mergeCell ref="A35:B35"/>
    <mergeCell ref="A92:B92"/>
    <mergeCell ref="A103:B10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CDDE-C901-4BB2-BF29-30BCD8550A9B}">
  <dimension ref="A1"/>
  <sheetViews>
    <sheetView showGridLines="0" showRowColHeaders="0" tabSelected="1" zoomScale="78" zoomScaleNormal="400" workbookViewId="0">
      <selection activeCell="AD33" sqref="AD33"/>
    </sheetView>
  </sheetViews>
  <sheetFormatPr defaultRowHeight="18" x14ac:dyDescent="0.35"/>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3DCC9-03AE-4614-9708-AF7194FC9103}">
  <dimension ref="A1"/>
  <sheetViews>
    <sheetView showGridLines="0" showRowColHeaders="0" zoomScale="75" workbookViewId="0">
      <selection activeCell="L11" sqref="L11"/>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Walmart Sales Data</vt:lpstr>
      <vt:lpstr>pivot</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Archana Sekar</dc:creator>
  <cp:lastModifiedBy>Archana Sekar</cp:lastModifiedBy>
  <dcterms:created xsi:type="dcterms:W3CDTF">2026-03-21T17:07:48Z</dcterms:created>
  <dcterms:modified xsi:type="dcterms:W3CDTF">2026-04-18T05:03:58Z</dcterms:modified>
</cp:coreProperties>
</file>